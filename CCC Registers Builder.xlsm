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fileSharing readOnlyRecommended="1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podolchc\Desktop\Github\CCC Allocation\"/>
    </mc:Choice>
  </mc:AlternateContent>
  <xr:revisionPtr revIDLastSave="0" documentId="13_ncr:1_{5228CB42-85AC-4B1F-8410-9ABF7B34C10F}" xr6:coauthVersionLast="36" xr6:coauthVersionMax="36" xr10:uidLastSave="{00000000-0000-0000-0000-000000000000}"/>
  <bookViews>
    <workbookView xWindow="0" yWindow="0" windowWidth="19200" windowHeight="7880" activeTab="2" xr2:uid="{00000000-000D-0000-FFFF-FFFF00000000}"/>
  </bookViews>
  <sheets>
    <sheet name="WK#" sheetId="16" r:id="rId1"/>
    <sheet name="New Starters" sheetId="10" r:id="rId2"/>
    <sheet name="Onbase Report" sheetId="20" r:id="rId3"/>
    <sheet name="Salesforce Dump" sheetId="8" r:id="rId4"/>
    <sheet name="Pre-Booked Holidays" sheetId="19" r:id="rId5"/>
    <sheet name="OBA Dump" sheetId="9" r:id="rId6"/>
    <sheet name="New Hire Hours" sheetId="5" state="hidden" r:id="rId7"/>
    <sheet name="Roster" sheetId="4" state="hidden" r:id="rId8"/>
  </sheets>
  <functionGroups builtInGroupCount="19"/>
  <definedNames>
    <definedName name="_xlnm._FilterDatabase" localSheetId="1" hidden="1">'New Starters'!$A$4:$O$101</definedName>
    <definedName name="_xlnm._FilterDatabase" localSheetId="2" hidden="1">'Onbase Report'!$A$1:$K$2</definedName>
    <definedName name="_xlnm._FilterDatabase" localSheetId="7" hidden="1">Roster!#REF!</definedName>
    <definedName name="_xlnm._FilterDatabase" localSheetId="3" hidden="1">'Salesforce Dump'!$A$1:$L$43</definedName>
    <definedName name="_xlnm._FilterDatabase" localSheetId="0" hidden="1">'WK#'!$A$6:$S$6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S5" i="10" s="1"/>
  <c r="S6" i="10" l="1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7" i="16" l="1" a="1"/>
  <c r="S7" i="16" s="1"/>
  <c r="R7" i="16" a="1"/>
  <c r="R7" i="16" s="1"/>
  <c r="Q7" i="16"/>
  <c r="F7" i="16"/>
  <c r="A6" i="10" l="1"/>
  <c r="C6" i="10"/>
  <c r="E6" i="10"/>
  <c r="F6" i="10"/>
  <c r="G6" i="10"/>
  <c r="H6" i="10"/>
  <c r="I6" i="10"/>
  <c r="J6" i="10"/>
  <c r="K6" i="10"/>
  <c r="L6" i="10"/>
  <c r="M6" i="10"/>
  <c r="R6" i="10"/>
  <c r="A7" i="10"/>
  <c r="C7" i="10"/>
  <c r="E7" i="10"/>
  <c r="F7" i="10"/>
  <c r="G7" i="10"/>
  <c r="H7" i="10"/>
  <c r="I7" i="10"/>
  <c r="J7" i="10"/>
  <c r="K7" i="10"/>
  <c r="L7" i="10"/>
  <c r="M7" i="10"/>
  <c r="R7" i="10"/>
  <c r="A8" i="10"/>
  <c r="C8" i="10"/>
  <c r="E8" i="10"/>
  <c r="F8" i="10"/>
  <c r="G8" i="10"/>
  <c r="H8" i="10"/>
  <c r="I8" i="10"/>
  <c r="J8" i="10"/>
  <c r="K8" i="10"/>
  <c r="L8" i="10"/>
  <c r="M8" i="10"/>
  <c r="R8" i="10"/>
  <c r="A9" i="10"/>
  <c r="C9" i="10"/>
  <c r="E9" i="10"/>
  <c r="F9" i="10"/>
  <c r="G9" i="10"/>
  <c r="H9" i="10"/>
  <c r="I9" i="10"/>
  <c r="J9" i="10"/>
  <c r="K9" i="10"/>
  <c r="L9" i="10"/>
  <c r="M9" i="10"/>
  <c r="R9" i="10"/>
  <c r="A10" i="10"/>
  <c r="C10" i="10"/>
  <c r="E10" i="10"/>
  <c r="F10" i="10"/>
  <c r="G10" i="10"/>
  <c r="H10" i="10"/>
  <c r="I10" i="10"/>
  <c r="J10" i="10"/>
  <c r="K10" i="10"/>
  <c r="L10" i="10"/>
  <c r="M10" i="10"/>
  <c r="R10" i="10"/>
  <c r="A11" i="10"/>
  <c r="C11" i="10"/>
  <c r="E11" i="10"/>
  <c r="F11" i="10"/>
  <c r="G11" i="10"/>
  <c r="H11" i="10"/>
  <c r="I11" i="10"/>
  <c r="J11" i="10"/>
  <c r="K11" i="10"/>
  <c r="L11" i="10"/>
  <c r="M11" i="10"/>
  <c r="R11" i="10"/>
  <c r="A12" i="10"/>
  <c r="C12" i="10"/>
  <c r="E12" i="10"/>
  <c r="F12" i="10"/>
  <c r="G12" i="10"/>
  <c r="H12" i="10"/>
  <c r="I12" i="10"/>
  <c r="J12" i="10"/>
  <c r="K12" i="10"/>
  <c r="L12" i="10"/>
  <c r="M12" i="10"/>
  <c r="R12" i="10"/>
  <c r="A13" i="10"/>
  <c r="C13" i="10"/>
  <c r="E13" i="10"/>
  <c r="F13" i="10"/>
  <c r="G13" i="10"/>
  <c r="H13" i="10"/>
  <c r="I13" i="10"/>
  <c r="J13" i="10"/>
  <c r="K13" i="10"/>
  <c r="L13" i="10"/>
  <c r="M13" i="10"/>
  <c r="R13" i="10"/>
  <c r="A14" i="10"/>
  <c r="C14" i="10"/>
  <c r="E14" i="10"/>
  <c r="F14" i="10"/>
  <c r="G14" i="10"/>
  <c r="H14" i="10"/>
  <c r="I14" i="10"/>
  <c r="J14" i="10"/>
  <c r="K14" i="10"/>
  <c r="L14" i="10"/>
  <c r="M14" i="10"/>
  <c r="R14" i="10"/>
  <c r="A15" i="10"/>
  <c r="C15" i="10"/>
  <c r="E15" i="10"/>
  <c r="F15" i="10"/>
  <c r="G15" i="10"/>
  <c r="H15" i="10"/>
  <c r="I15" i="10"/>
  <c r="J15" i="10"/>
  <c r="K15" i="10"/>
  <c r="L15" i="10"/>
  <c r="M15" i="10"/>
  <c r="R15" i="10"/>
  <c r="A16" i="10"/>
  <c r="C16" i="10"/>
  <c r="E16" i="10"/>
  <c r="F16" i="10"/>
  <c r="G16" i="10"/>
  <c r="H16" i="10"/>
  <c r="I16" i="10"/>
  <c r="J16" i="10"/>
  <c r="K16" i="10"/>
  <c r="L16" i="10"/>
  <c r="M16" i="10"/>
  <c r="R16" i="10"/>
  <c r="A17" i="10"/>
  <c r="C17" i="10"/>
  <c r="E17" i="10"/>
  <c r="F17" i="10"/>
  <c r="G17" i="10"/>
  <c r="H17" i="10"/>
  <c r="I17" i="10"/>
  <c r="J17" i="10"/>
  <c r="K17" i="10"/>
  <c r="L17" i="10"/>
  <c r="M17" i="10"/>
  <c r="R17" i="10"/>
  <c r="A18" i="10"/>
  <c r="C18" i="10"/>
  <c r="E18" i="10"/>
  <c r="F18" i="10"/>
  <c r="G18" i="10"/>
  <c r="H18" i="10"/>
  <c r="I18" i="10"/>
  <c r="J18" i="10"/>
  <c r="K18" i="10"/>
  <c r="L18" i="10"/>
  <c r="M18" i="10"/>
  <c r="R18" i="10"/>
  <c r="A19" i="10"/>
  <c r="C19" i="10"/>
  <c r="E19" i="10"/>
  <c r="F19" i="10"/>
  <c r="G19" i="10"/>
  <c r="H19" i="10"/>
  <c r="I19" i="10"/>
  <c r="J19" i="10"/>
  <c r="K19" i="10"/>
  <c r="L19" i="10"/>
  <c r="M19" i="10"/>
  <c r="R19" i="10"/>
  <c r="A20" i="10"/>
  <c r="C20" i="10"/>
  <c r="E20" i="10"/>
  <c r="F20" i="10"/>
  <c r="G20" i="10"/>
  <c r="H20" i="10"/>
  <c r="I20" i="10"/>
  <c r="J20" i="10"/>
  <c r="K20" i="10"/>
  <c r="L20" i="10"/>
  <c r="M20" i="10"/>
  <c r="R20" i="10"/>
  <c r="A21" i="10"/>
  <c r="C21" i="10"/>
  <c r="E21" i="10"/>
  <c r="F21" i="10"/>
  <c r="G21" i="10"/>
  <c r="H21" i="10"/>
  <c r="I21" i="10"/>
  <c r="J21" i="10"/>
  <c r="K21" i="10"/>
  <c r="L21" i="10"/>
  <c r="M21" i="10"/>
  <c r="R21" i="10"/>
  <c r="A22" i="10"/>
  <c r="C22" i="10"/>
  <c r="E22" i="10"/>
  <c r="F22" i="10"/>
  <c r="G22" i="10"/>
  <c r="H22" i="10"/>
  <c r="I22" i="10"/>
  <c r="J22" i="10"/>
  <c r="K22" i="10"/>
  <c r="L22" i="10"/>
  <c r="M22" i="10"/>
  <c r="R22" i="10"/>
  <c r="A23" i="10"/>
  <c r="C23" i="10"/>
  <c r="E23" i="10"/>
  <c r="F23" i="10"/>
  <c r="G23" i="10"/>
  <c r="H23" i="10"/>
  <c r="I23" i="10"/>
  <c r="J23" i="10"/>
  <c r="K23" i="10"/>
  <c r="L23" i="10"/>
  <c r="M23" i="10"/>
  <c r="R23" i="10"/>
  <c r="A24" i="10"/>
  <c r="C24" i="10"/>
  <c r="E24" i="10"/>
  <c r="F24" i="10"/>
  <c r="G24" i="10"/>
  <c r="H24" i="10"/>
  <c r="I24" i="10"/>
  <c r="J24" i="10"/>
  <c r="K24" i="10"/>
  <c r="L24" i="10"/>
  <c r="M24" i="10"/>
  <c r="R24" i="10"/>
  <c r="A25" i="10"/>
  <c r="C25" i="10"/>
  <c r="E25" i="10"/>
  <c r="F25" i="10"/>
  <c r="G25" i="10"/>
  <c r="H25" i="10"/>
  <c r="I25" i="10"/>
  <c r="J25" i="10"/>
  <c r="K25" i="10"/>
  <c r="L25" i="10"/>
  <c r="M25" i="10"/>
  <c r="R25" i="10"/>
  <c r="A26" i="10"/>
  <c r="C26" i="10"/>
  <c r="E26" i="10"/>
  <c r="F26" i="10"/>
  <c r="G26" i="10"/>
  <c r="H26" i="10"/>
  <c r="I26" i="10"/>
  <c r="J26" i="10"/>
  <c r="K26" i="10"/>
  <c r="L26" i="10"/>
  <c r="M26" i="10"/>
  <c r="R26" i="10"/>
  <c r="A27" i="10"/>
  <c r="C27" i="10"/>
  <c r="E27" i="10"/>
  <c r="F27" i="10"/>
  <c r="G27" i="10"/>
  <c r="H27" i="10"/>
  <c r="I27" i="10"/>
  <c r="J27" i="10"/>
  <c r="K27" i="10"/>
  <c r="L27" i="10"/>
  <c r="M27" i="10"/>
  <c r="R27" i="10"/>
  <c r="A28" i="10"/>
  <c r="C28" i="10"/>
  <c r="E28" i="10"/>
  <c r="F28" i="10"/>
  <c r="G28" i="10"/>
  <c r="H28" i="10"/>
  <c r="I28" i="10"/>
  <c r="J28" i="10"/>
  <c r="K28" i="10"/>
  <c r="L28" i="10"/>
  <c r="M28" i="10"/>
  <c r="R28" i="10"/>
  <c r="A29" i="10"/>
  <c r="C29" i="10"/>
  <c r="E29" i="10"/>
  <c r="F29" i="10"/>
  <c r="G29" i="10"/>
  <c r="H29" i="10"/>
  <c r="I29" i="10"/>
  <c r="J29" i="10"/>
  <c r="K29" i="10"/>
  <c r="L29" i="10"/>
  <c r="M29" i="10"/>
  <c r="R29" i="10"/>
  <c r="A30" i="10"/>
  <c r="C30" i="10"/>
  <c r="E30" i="10"/>
  <c r="F30" i="10"/>
  <c r="G30" i="10"/>
  <c r="H30" i="10"/>
  <c r="I30" i="10"/>
  <c r="J30" i="10"/>
  <c r="K30" i="10"/>
  <c r="L30" i="10"/>
  <c r="M30" i="10"/>
  <c r="R30" i="10"/>
  <c r="A31" i="10"/>
  <c r="C31" i="10"/>
  <c r="E31" i="10"/>
  <c r="F31" i="10"/>
  <c r="G31" i="10"/>
  <c r="H31" i="10"/>
  <c r="I31" i="10"/>
  <c r="J31" i="10"/>
  <c r="K31" i="10"/>
  <c r="L31" i="10"/>
  <c r="M31" i="10"/>
  <c r="R31" i="10"/>
  <c r="A32" i="10"/>
  <c r="C32" i="10"/>
  <c r="E32" i="10"/>
  <c r="F32" i="10"/>
  <c r="G32" i="10"/>
  <c r="H32" i="10"/>
  <c r="I32" i="10"/>
  <c r="J32" i="10"/>
  <c r="K32" i="10"/>
  <c r="L32" i="10"/>
  <c r="M32" i="10"/>
  <c r="R32" i="10"/>
  <c r="A33" i="10"/>
  <c r="C33" i="10"/>
  <c r="E33" i="10"/>
  <c r="F33" i="10"/>
  <c r="G33" i="10"/>
  <c r="H33" i="10"/>
  <c r="I33" i="10"/>
  <c r="J33" i="10"/>
  <c r="K33" i="10"/>
  <c r="L33" i="10"/>
  <c r="M33" i="10"/>
  <c r="R33" i="10"/>
  <c r="A34" i="10"/>
  <c r="C34" i="10"/>
  <c r="E34" i="10"/>
  <c r="F34" i="10"/>
  <c r="G34" i="10"/>
  <c r="H34" i="10"/>
  <c r="I34" i="10"/>
  <c r="J34" i="10"/>
  <c r="K34" i="10"/>
  <c r="L34" i="10"/>
  <c r="M34" i="10"/>
  <c r="R34" i="10"/>
  <c r="A35" i="10"/>
  <c r="C35" i="10"/>
  <c r="E35" i="10"/>
  <c r="F35" i="10"/>
  <c r="G35" i="10"/>
  <c r="H35" i="10"/>
  <c r="I35" i="10"/>
  <c r="J35" i="10"/>
  <c r="K35" i="10"/>
  <c r="L35" i="10"/>
  <c r="M35" i="10"/>
  <c r="R35" i="10"/>
  <c r="A36" i="10"/>
  <c r="C36" i="10"/>
  <c r="E36" i="10"/>
  <c r="F36" i="10"/>
  <c r="G36" i="10"/>
  <c r="H36" i="10"/>
  <c r="I36" i="10"/>
  <c r="J36" i="10"/>
  <c r="K36" i="10"/>
  <c r="L36" i="10"/>
  <c r="M36" i="10"/>
  <c r="R36" i="10"/>
  <c r="A37" i="10"/>
  <c r="C37" i="10"/>
  <c r="E37" i="10"/>
  <c r="F37" i="10"/>
  <c r="G37" i="10"/>
  <c r="H37" i="10"/>
  <c r="I37" i="10"/>
  <c r="J37" i="10"/>
  <c r="K37" i="10"/>
  <c r="L37" i="10"/>
  <c r="M37" i="10"/>
  <c r="R37" i="10"/>
  <c r="A38" i="10"/>
  <c r="C38" i="10"/>
  <c r="E38" i="10"/>
  <c r="F38" i="10"/>
  <c r="G38" i="10"/>
  <c r="H38" i="10"/>
  <c r="I38" i="10"/>
  <c r="J38" i="10"/>
  <c r="K38" i="10"/>
  <c r="L38" i="10"/>
  <c r="M38" i="10"/>
  <c r="R38" i="10"/>
  <c r="A39" i="10"/>
  <c r="C39" i="10"/>
  <c r="E39" i="10"/>
  <c r="F39" i="10"/>
  <c r="G39" i="10"/>
  <c r="H39" i="10"/>
  <c r="I39" i="10"/>
  <c r="J39" i="10"/>
  <c r="K39" i="10"/>
  <c r="L39" i="10"/>
  <c r="M39" i="10"/>
  <c r="R39" i="10"/>
  <c r="A40" i="10"/>
  <c r="C40" i="10"/>
  <c r="E40" i="10"/>
  <c r="F40" i="10"/>
  <c r="G40" i="10"/>
  <c r="H40" i="10"/>
  <c r="I40" i="10"/>
  <c r="J40" i="10"/>
  <c r="K40" i="10"/>
  <c r="L40" i="10"/>
  <c r="M40" i="10"/>
  <c r="R40" i="10"/>
  <c r="A41" i="10"/>
  <c r="C41" i="10"/>
  <c r="E41" i="10"/>
  <c r="F41" i="10"/>
  <c r="G41" i="10"/>
  <c r="H41" i="10"/>
  <c r="I41" i="10"/>
  <c r="J41" i="10"/>
  <c r="K41" i="10"/>
  <c r="L41" i="10"/>
  <c r="M41" i="10"/>
  <c r="R41" i="10"/>
  <c r="A42" i="10"/>
  <c r="C42" i="10"/>
  <c r="E42" i="10"/>
  <c r="F42" i="10"/>
  <c r="G42" i="10"/>
  <c r="H42" i="10"/>
  <c r="I42" i="10"/>
  <c r="J42" i="10"/>
  <c r="K42" i="10"/>
  <c r="L42" i="10"/>
  <c r="M42" i="10"/>
  <c r="R42" i="10"/>
  <c r="A43" i="10"/>
  <c r="C43" i="10"/>
  <c r="E43" i="10"/>
  <c r="F43" i="10"/>
  <c r="G43" i="10"/>
  <c r="H43" i="10"/>
  <c r="I43" i="10"/>
  <c r="J43" i="10"/>
  <c r="K43" i="10"/>
  <c r="L43" i="10"/>
  <c r="M43" i="10"/>
  <c r="R43" i="10"/>
  <c r="A44" i="10"/>
  <c r="C44" i="10"/>
  <c r="E44" i="10"/>
  <c r="F44" i="10"/>
  <c r="G44" i="10"/>
  <c r="H44" i="10"/>
  <c r="I44" i="10"/>
  <c r="J44" i="10"/>
  <c r="K44" i="10"/>
  <c r="L44" i="10"/>
  <c r="M44" i="10"/>
  <c r="R44" i="10"/>
  <c r="A45" i="10"/>
  <c r="C45" i="10"/>
  <c r="E45" i="10"/>
  <c r="F45" i="10"/>
  <c r="G45" i="10"/>
  <c r="H45" i="10"/>
  <c r="I45" i="10"/>
  <c r="J45" i="10"/>
  <c r="K45" i="10"/>
  <c r="L45" i="10"/>
  <c r="M45" i="10"/>
  <c r="R45" i="10"/>
  <c r="A46" i="10"/>
  <c r="C46" i="10"/>
  <c r="E46" i="10"/>
  <c r="F46" i="10"/>
  <c r="G46" i="10"/>
  <c r="H46" i="10"/>
  <c r="I46" i="10"/>
  <c r="J46" i="10"/>
  <c r="K46" i="10"/>
  <c r="L46" i="10"/>
  <c r="M46" i="10"/>
  <c r="R46" i="10"/>
  <c r="A47" i="10"/>
  <c r="C47" i="10"/>
  <c r="E47" i="10"/>
  <c r="F47" i="10"/>
  <c r="G47" i="10"/>
  <c r="H47" i="10"/>
  <c r="I47" i="10"/>
  <c r="J47" i="10"/>
  <c r="K47" i="10"/>
  <c r="L47" i="10"/>
  <c r="M47" i="10"/>
  <c r="R47" i="10"/>
  <c r="A48" i="10"/>
  <c r="C48" i="10"/>
  <c r="E48" i="10"/>
  <c r="F48" i="10"/>
  <c r="G48" i="10"/>
  <c r="H48" i="10"/>
  <c r="I48" i="10"/>
  <c r="J48" i="10"/>
  <c r="K48" i="10"/>
  <c r="L48" i="10"/>
  <c r="M48" i="10"/>
  <c r="R48" i="10"/>
  <c r="A49" i="10"/>
  <c r="C49" i="10"/>
  <c r="E49" i="10"/>
  <c r="F49" i="10"/>
  <c r="G49" i="10"/>
  <c r="H49" i="10"/>
  <c r="I49" i="10"/>
  <c r="J49" i="10"/>
  <c r="K49" i="10"/>
  <c r="L49" i="10"/>
  <c r="M49" i="10"/>
  <c r="R49" i="10"/>
  <c r="A50" i="10"/>
  <c r="C50" i="10"/>
  <c r="E50" i="10"/>
  <c r="F50" i="10"/>
  <c r="G50" i="10"/>
  <c r="H50" i="10"/>
  <c r="I50" i="10"/>
  <c r="J50" i="10"/>
  <c r="K50" i="10"/>
  <c r="L50" i="10"/>
  <c r="M50" i="10"/>
  <c r="R50" i="10"/>
  <c r="A51" i="10"/>
  <c r="C51" i="10"/>
  <c r="E51" i="10"/>
  <c r="F51" i="10"/>
  <c r="G51" i="10"/>
  <c r="H51" i="10"/>
  <c r="I51" i="10"/>
  <c r="J51" i="10"/>
  <c r="K51" i="10"/>
  <c r="L51" i="10"/>
  <c r="M51" i="10"/>
  <c r="R51" i="10"/>
  <c r="A52" i="10"/>
  <c r="C52" i="10"/>
  <c r="E52" i="10"/>
  <c r="F52" i="10"/>
  <c r="G52" i="10"/>
  <c r="H52" i="10"/>
  <c r="I52" i="10"/>
  <c r="J52" i="10"/>
  <c r="K52" i="10"/>
  <c r="L52" i="10"/>
  <c r="M52" i="10"/>
  <c r="R52" i="10"/>
  <c r="A53" i="10"/>
  <c r="C53" i="10"/>
  <c r="E53" i="10"/>
  <c r="F53" i="10"/>
  <c r="G53" i="10"/>
  <c r="H53" i="10"/>
  <c r="I53" i="10"/>
  <c r="J53" i="10"/>
  <c r="K53" i="10"/>
  <c r="L53" i="10"/>
  <c r="M53" i="10"/>
  <c r="R53" i="10"/>
  <c r="A54" i="10"/>
  <c r="C54" i="10"/>
  <c r="E54" i="10"/>
  <c r="F54" i="10"/>
  <c r="G54" i="10"/>
  <c r="H54" i="10"/>
  <c r="I54" i="10"/>
  <c r="J54" i="10"/>
  <c r="K54" i="10"/>
  <c r="L54" i="10"/>
  <c r="M54" i="10"/>
  <c r="R54" i="10"/>
  <c r="A55" i="10"/>
  <c r="C55" i="10"/>
  <c r="E55" i="10"/>
  <c r="F55" i="10"/>
  <c r="G55" i="10"/>
  <c r="H55" i="10"/>
  <c r="I55" i="10"/>
  <c r="J55" i="10"/>
  <c r="K55" i="10"/>
  <c r="L55" i="10"/>
  <c r="M55" i="10"/>
  <c r="R55" i="10"/>
  <c r="A56" i="10"/>
  <c r="C56" i="10"/>
  <c r="E56" i="10"/>
  <c r="F56" i="10"/>
  <c r="G56" i="10"/>
  <c r="H56" i="10"/>
  <c r="I56" i="10"/>
  <c r="J56" i="10"/>
  <c r="K56" i="10"/>
  <c r="L56" i="10"/>
  <c r="M56" i="10"/>
  <c r="R56" i="10"/>
  <c r="A57" i="10"/>
  <c r="C57" i="10"/>
  <c r="E57" i="10"/>
  <c r="F57" i="10"/>
  <c r="G57" i="10"/>
  <c r="H57" i="10"/>
  <c r="I57" i="10"/>
  <c r="J57" i="10"/>
  <c r="K57" i="10"/>
  <c r="L57" i="10"/>
  <c r="M57" i="10"/>
  <c r="R57" i="10"/>
  <c r="A58" i="10"/>
  <c r="C58" i="10"/>
  <c r="E58" i="10"/>
  <c r="F58" i="10"/>
  <c r="G58" i="10"/>
  <c r="H58" i="10"/>
  <c r="I58" i="10"/>
  <c r="J58" i="10"/>
  <c r="K58" i="10"/>
  <c r="L58" i="10"/>
  <c r="M58" i="10"/>
  <c r="R58" i="10"/>
  <c r="A59" i="10"/>
  <c r="C59" i="10"/>
  <c r="E59" i="10"/>
  <c r="F59" i="10"/>
  <c r="G59" i="10"/>
  <c r="H59" i="10"/>
  <c r="I59" i="10"/>
  <c r="J59" i="10"/>
  <c r="K59" i="10"/>
  <c r="L59" i="10"/>
  <c r="M59" i="10"/>
  <c r="R59" i="10"/>
  <c r="A60" i="10"/>
  <c r="C60" i="10"/>
  <c r="E60" i="10"/>
  <c r="F60" i="10"/>
  <c r="G60" i="10"/>
  <c r="H60" i="10"/>
  <c r="I60" i="10"/>
  <c r="J60" i="10"/>
  <c r="K60" i="10"/>
  <c r="L60" i="10"/>
  <c r="M60" i="10"/>
  <c r="R60" i="10"/>
  <c r="A61" i="10"/>
  <c r="C61" i="10"/>
  <c r="E61" i="10"/>
  <c r="F61" i="10"/>
  <c r="G61" i="10"/>
  <c r="H61" i="10"/>
  <c r="I61" i="10"/>
  <c r="J61" i="10"/>
  <c r="K61" i="10"/>
  <c r="L61" i="10"/>
  <c r="M61" i="10"/>
  <c r="R61" i="10"/>
  <c r="A62" i="10"/>
  <c r="C62" i="10"/>
  <c r="E62" i="10"/>
  <c r="F62" i="10"/>
  <c r="G62" i="10"/>
  <c r="H62" i="10"/>
  <c r="I62" i="10"/>
  <c r="J62" i="10"/>
  <c r="K62" i="10"/>
  <c r="L62" i="10"/>
  <c r="M62" i="10"/>
  <c r="R62" i="10"/>
  <c r="A63" i="10"/>
  <c r="C63" i="10"/>
  <c r="E63" i="10"/>
  <c r="F63" i="10"/>
  <c r="G63" i="10"/>
  <c r="H63" i="10"/>
  <c r="I63" i="10"/>
  <c r="J63" i="10"/>
  <c r="K63" i="10"/>
  <c r="L63" i="10"/>
  <c r="M63" i="10"/>
  <c r="R63" i="10"/>
  <c r="A64" i="10"/>
  <c r="C64" i="10"/>
  <c r="E64" i="10"/>
  <c r="F64" i="10"/>
  <c r="G64" i="10"/>
  <c r="H64" i="10"/>
  <c r="I64" i="10"/>
  <c r="J64" i="10"/>
  <c r="K64" i="10"/>
  <c r="L64" i="10"/>
  <c r="M64" i="10"/>
  <c r="R64" i="10"/>
  <c r="A65" i="10"/>
  <c r="C65" i="10"/>
  <c r="E65" i="10"/>
  <c r="F65" i="10"/>
  <c r="G65" i="10"/>
  <c r="H65" i="10"/>
  <c r="I65" i="10"/>
  <c r="J65" i="10"/>
  <c r="K65" i="10"/>
  <c r="L65" i="10"/>
  <c r="M65" i="10"/>
  <c r="R65" i="10"/>
  <c r="A66" i="10"/>
  <c r="C66" i="10"/>
  <c r="E66" i="10"/>
  <c r="F66" i="10"/>
  <c r="G66" i="10"/>
  <c r="H66" i="10"/>
  <c r="I66" i="10"/>
  <c r="J66" i="10"/>
  <c r="K66" i="10"/>
  <c r="L66" i="10"/>
  <c r="M66" i="10"/>
  <c r="R66" i="10"/>
  <c r="A67" i="10"/>
  <c r="C67" i="10"/>
  <c r="E67" i="10"/>
  <c r="F67" i="10"/>
  <c r="G67" i="10"/>
  <c r="H67" i="10"/>
  <c r="I67" i="10"/>
  <c r="J67" i="10"/>
  <c r="K67" i="10"/>
  <c r="L67" i="10"/>
  <c r="M67" i="10"/>
  <c r="R67" i="10"/>
  <c r="A68" i="10"/>
  <c r="C68" i="10"/>
  <c r="E68" i="10"/>
  <c r="F68" i="10"/>
  <c r="G68" i="10"/>
  <c r="H68" i="10"/>
  <c r="I68" i="10"/>
  <c r="J68" i="10"/>
  <c r="K68" i="10"/>
  <c r="L68" i="10"/>
  <c r="M68" i="10"/>
  <c r="R68" i="10"/>
  <c r="A69" i="10"/>
  <c r="C69" i="10"/>
  <c r="E69" i="10"/>
  <c r="F69" i="10"/>
  <c r="G69" i="10"/>
  <c r="H69" i="10"/>
  <c r="I69" i="10"/>
  <c r="J69" i="10"/>
  <c r="K69" i="10"/>
  <c r="L69" i="10"/>
  <c r="M69" i="10"/>
  <c r="R69" i="10"/>
  <c r="A70" i="10"/>
  <c r="C70" i="10"/>
  <c r="E70" i="10"/>
  <c r="F70" i="10"/>
  <c r="G70" i="10"/>
  <c r="H70" i="10"/>
  <c r="I70" i="10"/>
  <c r="J70" i="10"/>
  <c r="K70" i="10"/>
  <c r="L70" i="10"/>
  <c r="M70" i="10"/>
  <c r="R70" i="10"/>
  <c r="A71" i="10"/>
  <c r="C71" i="10"/>
  <c r="E71" i="10"/>
  <c r="F71" i="10"/>
  <c r="G71" i="10"/>
  <c r="H71" i="10"/>
  <c r="I71" i="10"/>
  <c r="J71" i="10"/>
  <c r="K71" i="10"/>
  <c r="L71" i="10"/>
  <c r="M71" i="10"/>
  <c r="R71" i="10"/>
  <c r="A72" i="10"/>
  <c r="C72" i="10"/>
  <c r="E72" i="10"/>
  <c r="F72" i="10"/>
  <c r="G72" i="10"/>
  <c r="H72" i="10"/>
  <c r="I72" i="10"/>
  <c r="J72" i="10"/>
  <c r="K72" i="10"/>
  <c r="L72" i="10"/>
  <c r="M72" i="10"/>
  <c r="R72" i="10"/>
  <c r="A73" i="10"/>
  <c r="C73" i="10"/>
  <c r="E73" i="10"/>
  <c r="F73" i="10"/>
  <c r="G73" i="10"/>
  <c r="H73" i="10"/>
  <c r="I73" i="10"/>
  <c r="J73" i="10"/>
  <c r="K73" i="10"/>
  <c r="L73" i="10"/>
  <c r="M73" i="10"/>
  <c r="R73" i="10"/>
  <c r="A74" i="10"/>
  <c r="C74" i="10"/>
  <c r="E74" i="10"/>
  <c r="F74" i="10"/>
  <c r="G74" i="10"/>
  <c r="H74" i="10"/>
  <c r="I74" i="10"/>
  <c r="J74" i="10"/>
  <c r="K74" i="10"/>
  <c r="L74" i="10"/>
  <c r="M74" i="10"/>
  <c r="R74" i="10"/>
  <c r="A75" i="10"/>
  <c r="C75" i="10"/>
  <c r="E75" i="10"/>
  <c r="F75" i="10"/>
  <c r="G75" i="10"/>
  <c r="H75" i="10"/>
  <c r="I75" i="10"/>
  <c r="J75" i="10"/>
  <c r="K75" i="10"/>
  <c r="L75" i="10"/>
  <c r="M75" i="10"/>
  <c r="R75" i="10"/>
  <c r="A76" i="10"/>
  <c r="C76" i="10"/>
  <c r="E76" i="10"/>
  <c r="F76" i="10"/>
  <c r="G76" i="10"/>
  <c r="H76" i="10"/>
  <c r="I76" i="10"/>
  <c r="J76" i="10"/>
  <c r="K76" i="10"/>
  <c r="L76" i="10"/>
  <c r="M76" i="10"/>
  <c r="R76" i="10"/>
  <c r="A77" i="10"/>
  <c r="C77" i="10"/>
  <c r="E77" i="10"/>
  <c r="F77" i="10"/>
  <c r="G77" i="10"/>
  <c r="H77" i="10"/>
  <c r="I77" i="10"/>
  <c r="J77" i="10"/>
  <c r="K77" i="10"/>
  <c r="L77" i="10"/>
  <c r="M77" i="10"/>
  <c r="R77" i="10"/>
  <c r="A78" i="10"/>
  <c r="C78" i="10"/>
  <c r="E78" i="10"/>
  <c r="F78" i="10"/>
  <c r="G78" i="10"/>
  <c r="H78" i="10"/>
  <c r="I78" i="10"/>
  <c r="J78" i="10"/>
  <c r="K78" i="10"/>
  <c r="L78" i="10"/>
  <c r="M78" i="10"/>
  <c r="R78" i="10"/>
  <c r="A79" i="10"/>
  <c r="C79" i="10"/>
  <c r="E79" i="10"/>
  <c r="F79" i="10"/>
  <c r="G79" i="10"/>
  <c r="H79" i="10"/>
  <c r="I79" i="10"/>
  <c r="J79" i="10"/>
  <c r="K79" i="10"/>
  <c r="L79" i="10"/>
  <c r="M79" i="10"/>
  <c r="R79" i="10"/>
  <c r="A80" i="10"/>
  <c r="C80" i="10"/>
  <c r="E80" i="10"/>
  <c r="F80" i="10"/>
  <c r="G80" i="10"/>
  <c r="H80" i="10"/>
  <c r="I80" i="10"/>
  <c r="J80" i="10"/>
  <c r="K80" i="10"/>
  <c r="L80" i="10"/>
  <c r="M80" i="10"/>
  <c r="R80" i="10"/>
  <c r="A81" i="10"/>
  <c r="C81" i="10"/>
  <c r="E81" i="10"/>
  <c r="F81" i="10"/>
  <c r="G81" i="10"/>
  <c r="H81" i="10"/>
  <c r="I81" i="10"/>
  <c r="J81" i="10"/>
  <c r="K81" i="10"/>
  <c r="L81" i="10"/>
  <c r="M81" i="10"/>
  <c r="R81" i="10"/>
  <c r="A82" i="10"/>
  <c r="C82" i="10"/>
  <c r="E82" i="10"/>
  <c r="F82" i="10"/>
  <c r="G82" i="10"/>
  <c r="H82" i="10"/>
  <c r="I82" i="10"/>
  <c r="J82" i="10"/>
  <c r="K82" i="10"/>
  <c r="L82" i="10"/>
  <c r="M82" i="10"/>
  <c r="R82" i="10"/>
  <c r="A83" i="10"/>
  <c r="C83" i="10"/>
  <c r="E83" i="10"/>
  <c r="F83" i="10"/>
  <c r="G83" i="10"/>
  <c r="H83" i="10"/>
  <c r="I83" i="10"/>
  <c r="J83" i="10"/>
  <c r="K83" i="10"/>
  <c r="L83" i="10"/>
  <c r="M83" i="10"/>
  <c r="R83" i="10"/>
  <c r="A84" i="10"/>
  <c r="C84" i="10"/>
  <c r="E84" i="10"/>
  <c r="F84" i="10"/>
  <c r="G84" i="10"/>
  <c r="H84" i="10"/>
  <c r="I84" i="10"/>
  <c r="J84" i="10"/>
  <c r="K84" i="10"/>
  <c r="L84" i="10"/>
  <c r="M84" i="10"/>
  <c r="R84" i="10"/>
  <c r="A85" i="10"/>
  <c r="C85" i="10"/>
  <c r="E85" i="10"/>
  <c r="F85" i="10"/>
  <c r="G85" i="10"/>
  <c r="H85" i="10"/>
  <c r="I85" i="10"/>
  <c r="J85" i="10"/>
  <c r="K85" i="10"/>
  <c r="L85" i="10"/>
  <c r="M85" i="10"/>
  <c r="R85" i="10"/>
  <c r="A86" i="10"/>
  <c r="C86" i="10"/>
  <c r="E86" i="10"/>
  <c r="F86" i="10"/>
  <c r="G86" i="10"/>
  <c r="H86" i="10"/>
  <c r="I86" i="10"/>
  <c r="J86" i="10"/>
  <c r="K86" i="10"/>
  <c r="L86" i="10"/>
  <c r="M86" i="10"/>
  <c r="R86" i="10"/>
  <c r="A87" i="10"/>
  <c r="C87" i="10"/>
  <c r="E87" i="10"/>
  <c r="F87" i="10"/>
  <c r="G87" i="10"/>
  <c r="H87" i="10"/>
  <c r="I87" i="10"/>
  <c r="J87" i="10"/>
  <c r="K87" i="10"/>
  <c r="L87" i="10"/>
  <c r="M87" i="10"/>
  <c r="R87" i="10"/>
  <c r="A88" i="10"/>
  <c r="C88" i="10"/>
  <c r="E88" i="10"/>
  <c r="F88" i="10"/>
  <c r="G88" i="10"/>
  <c r="H88" i="10"/>
  <c r="I88" i="10"/>
  <c r="J88" i="10"/>
  <c r="K88" i="10"/>
  <c r="L88" i="10"/>
  <c r="M88" i="10"/>
  <c r="R88" i="10"/>
  <c r="A89" i="10"/>
  <c r="C89" i="10"/>
  <c r="E89" i="10"/>
  <c r="F89" i="10"/>
  <c r="G89" i="10"/>
  <c r="H89" i="10"/>
  <c r="I89" i="10"/>
  <c r="J89" i="10"/>
  <c r="K89" i="10"/>
  <c r="L89" i="10"/>
  <c r="M89" i="10"/>
  <c r="R89" i="10"/>
  <c r="A90" i="10"/>
  <c r="C90" i="10"/>
  <c r="E90" i="10"/>
  <c r="F90" i="10"/>
  <c r="G90" i="10"/>
  <c r="H90" i="10"/>
  <c r="I90" i="10"/>
  <c r="J90" i="10"/>
  <c r="K90" i="10"/>
  <c r="L90" i="10"/>
  <c r="M90" i="10"/>
  <c r="R90" i="10"/>
  <c r="A91" i="10"/>
  <c r="C91" i="10"/>
  <c r="E91" i="10"/>
  <c r="F91" i="10"/>
  <c r="G91" i="10"/>
  <c r="H91" i="10"/>
  <c r="I91" i="10"/>
  <c r="J91" i="10"/>
  <c r="K91" i="10"/>
  <c r="L91" i="10"/>
  <c r="M91" i="10"/>
  <c r="R91" i="10"/>
  <c r="A92" i="10"/>
  <c r="C92" i="10"/>
  <c r="E92" i="10"/>
  <c r="F92" i="10"/>
  <c r="G92" i="10"/>
  <c r="H92" i="10"/>
  <c r="I92" i="10"/>
  <c r="J92" i="10"/>
  <c r="K92" i="10"/>
  <c r="L92" i="10"/>
  <c r="M92" i="10"/>
  <c r="R92" i="10"/>
  <c r="A93" i="10"/>
  <c r="C93" i="10"/>
  <c r="E93" i="10"/>
  <c r="F93" i="10"/>
  <c r="G93" i="10"/>
  <c r="H93" i="10"/>
  <c r="I93" i="10"/>
  <c r="J93" i="10"/>
  <c r="K93" i="10"/>
  <c r="L93" i="10"/>
  <c r="M93" i="10"/>
  <c r="R93" i="10"/>
  <c r="A94" i="10"/>
  <c r="C94" i="10"/>
  <c r="E94" i="10"/>
  <c r="F94" i="10"/>
  <c r="G94" i="10"/>
  <c r="H94" i="10"/>
  <c r="I94" i="10"/>
  <c r="J94" i="10"/>
  <c r="K94" i="10"/>
  <c r="L94" i="10"/>
  <c r="M94" i="10"/>
  <c r="R94" i="10"/>
  <c r="A95" i="10"/>
  <c r="C95" i="10"/>
  <c r="E95" i="10"/>
  <c r="F95" i="10"/>
  <c r="G95" i="10"/>
  <c r="H95" i="10"/>
  <c r="I95" i="10"/>
  <c r="J95" i="10"/>
  <c r="K95" i="10"/>
  <c r="L95" i="10"/>
  <c r="M95" i="10"/>
  <c r="R95" i="10"/>
  <c r="A96" i="10"/>
  <c r="C96" i="10"/>
  <c r="E96" i="10"/>
  <c r="F96" i="10"/>
  <c r="G96" i="10"/>
  <c r="H96" i="10"/>
  <c r="I96" i="10"/>
  <c r="J96" i="10"/>
  <c r="K96" i="10"/>
  <c r="L96" i="10"/>
  <c r="M96" i="10"/>
  <c r="R96" i="10"/>
  <c r="A97" i="10"/>
  <c r="C97" i="10"/>
  <c r="E97" i="10"/>
  <c r="F97" i="10"/>
  <c r="G97" i="10"/>
  <c r="H97" i="10"/>
  <c r="I97" i="10"/>
  <c r="J97" i="10"/>
  <c r="K97" i="10"/>
  <c r="L97" i="10"/>
  <c r="M97" i="10"/>
  <c r="R97" i="10"/>
  <c r="A98" i="10"/>
  <c r="C98" i="10"/>
  <c r="E98" i="10"/>
  <c r="F98" i="10"/>
  <c r="G98" i="10"/>
  <c r="H98" i="10"/>
  <c r="I98" i="10"/>
  <c r="J98" i="10"/>
  <c r="K98" i="10"/>
  <c r="L98" i="10"/>
  <c r="M98" i="10"/>
  <c r="R98" i="10"/>
  <c r="A99" i="10"/>
  <c r="C99" i="10"/>
  <c r="E99" i="10"/>
  <c r="F99" i="10"/>
  <c r="G99" i="10"/>
  <c r="H99" i="10"/>
  <c r="I99" i="10"/>
  <c r="J99" i="10"/>
  <c r="K99" i="10"/>
  <c r="L99" i="10"/>
  <c r="M99" i="10"/>
  <c r="R99" i="10"/>
  <c r="A100" i="10"/>
  <c r="C100" i="10"/>
  <c r="E100" i="10"/>
  <c r="F100" i="10"/>
  <c r="G100" i="10"/>
  <c r="H100" i="10"/>
  <c r="I100" i="10"/>
  <c r="J100" i="10"/>
  <c r="K100" i="10"/>
  <c r="L100" i="10"/>
  <c r="M100" i="10"/>
  <c r="R100" i="10"/>
  <c r="A101" i="10"/>
  <c r="C101" i="10"/>
  <c r="E101" i="10"/>
  <c r="F101" i="10"/>
  <c r="G101" i="10"/>
  <c r="H101" i="10"/>
  <c r="I101" i="10"/>
  <c r="J101" i="10"/>
  <c r="K101" i="10"/>
  <c r="L101" i="10"/>
  <c r="M101" i="10"/>
  <c r="R101" i="10"/>
  <c r="A102" i="10"/>
  <c r="C102" i="10"/>
  <c r="E102" i="10"/>
  <c r="F102" i="10"/>
  <c r="G102" i="10"/>
  <c r="H102" i="10"/>
  <c r="I102" i="10"/>
  <c r="J102" i="10"/>
  <c r="K102" i="10"/>
  <c r="L102" i="10"/>
  <c r="M102" i="10"/>
  <c r="R102" i="10"/>
  <c r="A103" i="10"/>
  <c r="C103" i="10"/>
  <c r="E103" i="10"/>
  <c r="F103" i="10"/>
  <c r="G103" i="10"/>
  <c r="H103" i="10"/>
  <c r="I103" i="10"/>
  <c r="J103" i="10"/>
  <c r="K103" i="10"/>
  <c r="L103" i="10"/>
  <c r="M103" i="10"/>
  <c r="R103" i="10"/>
  <c r="A104" i="10"/>
  <c r="C104" i="10"/>
  <c r="E104" i="10"/>
  <c r="F104" i="10"/>
  <c r="G104" i="10"/>
  <c r="H104" i="10"/>
  <c r="I104" i="10"/>
  <c r="J104" i="10"/>
  <c r="K104" i="10"/>
  <c r="L104" i="10"/>
  <c r="M104" i="10"/>
  <c r="R104" i="10"/>
  <c r="R5" i="10"/>
  <c r="M5" i="10"/>
  <c r="L5" i="10"/>
  <c r="K5" i="10"/>
  <c r="J5" i="10"/>
  <c r="I5" i="10"/>
  <c r="H5" i="10"/>
  <c r="G5" i="10"/>
  <c r="F5" i="10"/>
  <c r="C5" i="10"/>
  <c r="A5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243DDA-2A26-42AF-841A-18D0A801D66B}" keepAlive="1" name="Query - BalanceDate" description="Connection to the 'BalanceDate' query in the workbook." type="5" refreshedVersion="0" background="1">
    <dbPr connection="Provider=Microsoft.Mashup.OleDb.1;Data Source=$Workbook$;Location=BalanceDate;Extended Properties=&quot;&quot;" command="SELECT * FROM [BalanceDate]"/>
  </connection>
  <connection id="2" xr16:uid="{60038935-8AA4-4AB2-9882-3B8B27913640}" keepAlive="1" name="Query - BalanceDate (10)" description="Connection to the 'BalanceDate (10)' query in the workbook." type="5" refreshedVersion="0" background="1">
    <dbPr connection="Provider=Microsoft.Mashup.OleDb.1;Data Source=$Workbook$;Location=&quot;BalanceDate (10)&quot;;Extended Properties=&quot;&quot;" command="SELECT * FROM [BalanceDate (10)]"/>
  </connection>
  <connection id="3" xr16:uid="{24411F1F-EFA7-4793-99A9-A415E2748C27}" keepAlive="1" name="Query - BalanceDate (11)" description="Connection to the 'BalanceDate (11)' query in the workbook." type="5" refreshedVersion="0" background="1">
    <dbPr connection="Provider=Microsoft.Mashup.OleDb.1;Data Source=$Workbook$;Location=&quot;BalanceDate (11)&quot;;Extended Properties=&quot;&quot;" command="SELECT * FROM [BalanceDate (11)]"/>
  </connection>
  <connection id="4" xr16:uid="{75EBDE82-A7A0-4D55-B265-9E5523A2F3D5}" keepAlive="1" name="Query - BalanceDate (2)" description="Connection to the 'BalanceDate (2)' query in the workbook." type="5" refreshedVersion="0" background="1">
    <dbPr connection="Provider=Microsoft.Mashup.OleDb.1;Data Source=$Workbook$;Location=&quot;BalanceDate (2)&quot;;Extended Properties=&quot;&quot;" command="SELECT * FROM [BalanceDate (2)]"/>
  </connection>
  <connection id="5" xr16:uid="{5EE85594-6BD6-4264-BA82-45076BD14859}" keepAlive="1" name="Query - BalanceDate (3)" description="Connection to the 'BalanceDate (3)' query in the workbook." type="5" refreshedVersion="0" background="1">
    <dbPr connection="Provider=Microsoft.Mashup.OleDb.1;Data Source=$Workbook$;Location=&quot;BalanceDate (3)&quot;;Extended Properties=&quot;&quot;" command="SELECT * FROM [BalanceDate (3)]"/>
  </connection>
  <connection id="6" xr16:uid="{532D996A-8481-4B7F-8853-810C52A1444B}" keepAlive="1" name="Query - BalanceDate (4)" description="Connection to the 'BalanceDate (4)' query in the workbook." type="5" refreshedVersion="0" background="1">
    <dbPr connection="Provider=Microsoft.Mashup.OleDb.1;Data Source=$Workbook$;Location=&quot;BalanceDate (4)&quot;;Extended Properties=&quot;&quot;" command="SELECT * FROM [BalanceDate (4)]"/>
  </connection>
  <connection id="7" xr16:uid="{7AB66350-187E-4523-884E-4E1027D9D352}" keepAlive="1" name="Query - BalanceDate (5)" description="Connection to the 'BalanceDate (5)' query in the workbook." type="5" refreshedVersion="0" background="1">
    <dbPr connection="Provider=Microsoft.Mashup.OleDb.1;Data Source=$Workbook$;Location=&quot;BalanceDate (5)&quot;;Extended Properties=&quot;&quot;" command="SELECT * FROM [BalanceDate (5)]"/>
  </connection>
  <connection id="8" xr16:uid="{08E2E093-DF3F-46FF-8758-98FCD784412A}" keepAlive="1" name="Query - BalanceDate (6)" description="Connection to the 'BalanceDate (6)' query in the workbook." type="5" refreshedVersion="0" background="1">
    <dbPr connection="Provider=Microsoft.Mashup.OleDb.1;Data Source=$Workbook$;Location=&quot;BalanceDate (6)&quot;;Extended Properties=&quot;&quot;" command="SELECT * FROM [BalanceDate (6)]"/>
  </connection>
  <connection id="9" xr16:uid="{C75C49E4-3398-45F0-B7F4-E9CB1D148935}" keepAlive="1" name="Query - BalanceDate (7)" description="Connection to the 'BalanceDate (7)' query in the workbook." type="5" refreshedVersion="0" background="1">
    <dbPr connection="Provider=Microsoft.Mashup.OleDb.1;Data Source=$Workbook$;Location=&quot;BalanceDate (7)&quot;;Extended Properties=&quot;&quot;" command="SELECT * FROM [BalanceDate (7)]"/>
  </connection>
  <connection id="10" xr16:uid="{D424AD00-A138-4CFD-9D3D-5C86C0E818D0}" keepAlive="1" name="Query - BalanceDate (8)" description="Connection to the 'BalanceDate (8)' query in the workbook." type="5" refreshedVersion="0" background="1">
    <dbPr connection="Provider=Microsoft.Mashup.OleDb.1;Data Source=$Workbook$;Location=&quot;BalanceDate (8)&quot;;Extended Properties=&quot;&quot;" command="SELECT * FROM [BalanceDate (8)]"/>
  </connection>
  <connection id="11" xr16:uid="{EE9BFC99-3F2F-4BF7-9C32-D060CF09FA36}" keepAlive="1" name="Query - BalanceDate (9)" description="Connection to the 'BalanceDate (9)' query in the workbook." type="5" refreshedVersion="0" background="1">
    <dbPr connection="Provider=Microsoft.Mashup.OleDb.1;Data Source=$Workbook$;Location=&quot;BalanceDate (9)&quot;;Extended Properties=&quot;&quot;" command="SELECT * FROM [BalanceDate (9)]"/>
  </connection>
  <connection id="12" xr16:uid="{2F359FB5-B55A-4327-9AF3-A9BFD70CF2E8}" keepAlive="1" name="Query - EmployeeStartDate" description="Connection to the 'EmployeeStartDate' query in the workbook." type="5" refreshedVersion="0" background="1">
    <dbPr connection="Provider=Microsoft.Mashup.OleDb.1;Data Source=$Workbook$;Location=EmployeeStartDate;Extended Properties=&quot;&quot;" command="SELECT * FROM [EmployeeStartDate]"/>
  </connection>
  <connection id="13" xr16:uid="{6AED9056-A346-4F2D-98EC-8FF7D7C881E5}" keepAlive="1" name="Query - EmployeeStartDate (10)" description="Connection to the 'EmployeeStartDate (10)' query in the workbook." type="5" refreshedVersion="0" background="1">
    <dbPr connection="Provider=Microsoft.Mashup.OleDb.1;Data Source=$Workbook$;Location=&quot;EmployeeStartDate (10)&quot;;Extended Properties=&quot;&quot;" command="SELECT * FROM [EmployeeStartDate (10)]"/>
  </connection>
  <connection id="14" xr16:uid="{8816CA18-3C36-43D3-80CA-E37AFDFFBC95}" keepAlive="1" name="Query - EmployeeStartDate (11)" description="Connection to the 'EmployeeStartDate (11)' query in the workbook." type="5" refreshedVersion="0" background="1">
    <dbPr connection="Provider=Microsoft.Mashup.OleDb.1;Data Source=$Workbook$;Location=&quot;EmployeeStartDate (11)&quot;;Extended Properties=&quot;&quot;" command="SELECT * FROM [EmployeeStartDate (11)]"/>
  </connection>
  <connection id="15" xr16:uid="{A27C8C51-90FA-46CB-B688-FBB31C179EDD}" keepAlive="1" name="Query - EmployeeStartDate (2)" description="Connection to the 'EmployeeStartDate (2)' query in the workbook." type="5" refreshedVersion="0" background="1">
    <dbPr connection="Provider=Microsoft.Mashup.OleDb.1;Data Source=$Workbook$;Location=&quot;EmployeeStartDate (2)&quot;;Extended Properties=&quot;&quot;" command="SELECT * FROM [EmployeeStartDate (2)]"/>
  </connection>
  <connection id="16" xr16:uid="{5F10CACE-0950-40B9-A4E3-C5C624314DD7}" keepAlive="1" name="Query - EmployeeStartDate (3)" description="Connection to the 'EmployeeStartDate (3)' query in the workbook." type="5" refreshedVersion="0" background="1">
    <dbPr connection="Provider=Microsoft.Mashup.OleDb.1;Data Source=$Workbook$;Location=&quot;EmployeeStartDate (3)&quot;;Extended Properties=&quot;&quot;" command="SELECT * FROM [EmployeeStartDate (3)]"/>
  </connection>
  <connection id="17" xr16:uid="{CA933DE5-042F-413E-AE0F-16A7C257BEC4}" keepAlive="1" name="Query - EmployeeStartDate (4)" description="Connection to the 'EmployeeStartDate (4)' query in the workbook." type="5" refreshedVersion="0" background="1">
    <dbPr connection="Provider=Microsoft.Mashup.OleDb.1;Data Source=$Workbook$;Location=&quot;EmployeeStartDate (4)&quot;;Extended Properties=&quot;&quot;" command="SELECT * FROM [EmployeeStartDate (4)]"/>
  </connection>
  <connection id="18" xr16:uid="{4562BEC0-7EB8-45A3-A777-43557BD4F2B6}" keepAlive="1" name="Query - EmployeeStartDate (5)" description="Connection to the 'EmployeeStartDate (5)' query in the workbook." type="5" refreshedVersion="0" background="1">
    <dbPr connection="Provider=Microsoft.Mashup.OleDb.1;Data Source=$Workbook$;Location=&quot;EmployeeStartDate (5)&quot;;Extended Properties=&quot;&quot;" command="SELECT * FROM [EmployeeStartDate (5)]"/>
  </connection>
  <connection id="19" xr16:uid="{21FD91B2-043B-4D80-A4C2-BA5A7A8DA01A}" keepAlive="1" name="Query - EmployeeStartDate (6)" description="Connection to the 'EmployeeStartDate (6)' query in the workbook." type="5" refreshedVersion="0" background="1">
    <dbPr connection="Provider=Microsoft.Mashup.OleDb.1;Data Source=$Workbook$;Location=&quot;EmployeeStartDate (6)&quot;;Extended Properties=&quot;&quot;" command="SELECT * FROM [EmployeeStartDate (6)]"/>
  </connection>
  <connection id="20" xr16:uid="{9D17C506-0422-4F37-9AA9-D84E1076AF0F}" keepAlive="1" name="Query - EmployeeStartDate (7)" description="Connection to the 'EmployeeStartDate (7)' query in the workbook." type="5" refreshedVersion="0" background="1">
    <dbPr connection="Provider=Microsoft.Mashup.OleDb.1;Data Source=$Workbook$;Location=&quot;EmployeeStartDate (7)&quot;;Extended Properties=&quot;&quot;" command="SELECT * FROM [EmployeeStartDate (7)]"/>
  </connection>
  <connection id="21" xr16:uid="{AAF05E95-54CD-457A-A939-5055450E5ABA}" keepAlive="1" name="Query - EmployeeStartDate (8)" description="Connection to the 'EmployeeStartDate (8)' query in the workbook." type="5" refreshedVersion="0" background="1">
    <dbPr connection="Provider=Microsoft.Mashup.OleDb.1;Data Source=$Workbook$;Location=&quot;EmployeeStartDate (8)&quot;;Extended Properties=&quot;&quot;" command="SELECT * FROM [EmployeeStartDate (8)]"/>
  </connection>
  <connection id="22" xr16:uid="{E4701D49-FC8A-464A-8AA4-44825E9AD478}" keepAlive="1" name="Query - EmployeeStartDate (9)" description="Connection to the 'EmployeeStartDate (9)' query in the workbook." type="5" refreshedVersion="0" background="1">
    <dbPr connection="Provider=Microsoft.Mashup.OleDb.1;Data Source=$Workbook$;Location=&quot;EmployeeStartDate (9)&quot;;Extended Properties=&quot;&quot;" command="SELECT * FROM [EmployeeStartDate (9)]"/>
  </connection>
  <connection id="23" xr16:uid="{EF5BFE2C-2E44-4182-BEFE-69C6B9A64A8E}" keepAlive="1" name="Query - Query1" description="Connection to the 'Query1' query in the workbook." type="5" refreshedVersion="6" saveData="1">
    <dbPr connection="Provider=Microsoft.Mashup.OleDb.1;Data Source=$Workbook$;Location=Query1;Extended Properties=&quot;&quot;" command="SELECT * FROM [Query1]"/>
  </connection>
  <connection id="24" xr16:uid="{E93C521B-A13D-4CA1-A307-62E13AF45280}" keepAlive="1" name="Query - Query1 (10)" description="Connection to the 'Query1 (10)' query in the workbook." type="5" refreshedVersion="6" saveData="1">
    <dbPr connection="Provider=Microsoft.Mashup.OleDb.1;Data Source=$Workbook$;Location=&quot;Query1 (10)&quot;;Extended Properties=&quot;&quot;" command="SELECT * FROM [Query1 (10)]"/>
  </connection>
  <connection id="25" xr16:uid="{AA3180E0-EB09-4C72-ADCE-902372697045}" keepAlive="1" name="Query - Query1 (11)" description="Connection to the 'Query1 (11)' query in the workbook." type="5" refreshedVersion="6" saveData="1">
    <dbPr connection="Provider=Microsoft.Mashup.OleDb.1;Data Source=$Workbook$;Location=&quot;Query1 (11)&quot;;Extended Properties=&quot;&quot;" command="SELECT * FROM [Query1 (11)]"/>
  </connection>
  <connection id="26" xr16:uid="{A02177DD-F02C-4990-9AD4-A0D993895D94}" keepAlive="1" name="Query - Query1 (2)" description="Connection to the 'Query1 (2)' query in the workbook." type="5" refreshedVersion="6" saveData="1">
    <dbPr connection="Provider=Microsoft.Mashup.OleDb.1;Data Source=$Workbook$;Location=&quot;Query1 (2)&quot;;Extended Properties=&quot;&quot;" command="SELECT * FROM [Query1 (2)]"/>
  </connection>
  <connection id="27" xr16:uid="{AA74B3DA-539C-4BF6-81F3-479876B356C5}" keepAlive="1" name="Query - Query1 (3)" description="Connection to the 'Query1 (3)' query in the workbook." type="5" refreshedVersion="6" saveData="1">
    <dbPr connection="Provider=Microsoft.Mashup.OleDb.1;Data Source=$Workbook$;Location=&quot;Query1 (3)&quot;;Extended Properties=&quot;&quot;" command="SELECT * FROM [Query1 (3)]"/>
  </connection>
  <connection id="28" xr16:uid="{945A06FE-3F53-488D-ADDD-4A8FDFA51DE5}" keepAlive="1" name="Query - Query1 (4)" description="Connection to the 'Query1 (4)' query in the workbook." type="5" refreshedVersion="6" saveData="1">
    <dbPr connection="Provider=Microsoft.Mashup.OleDb.1;Data Source=$Workbook$;Location=&quot;Query1 (4)&quot;;Extended Properties=&quot;&quot;" command="SELECT * FROM [Query1 (4)]"/>
  </connection>
  <connection id="29" xr16:uid="{DA1FF6C7-02F4-44C3-8C7F-1634D3A7847F}" keepAlive="1" name="Query - Query1 (5)" description="Connection to the 'Query1 (5)' query in the workbook." type="5" refreshedVersion="6" saveData="1">
    <dbPr connection="Provider=Microsoft.Mashup.OleDb.1;Data Source=$Workbook$;Location=&quot;Query1 (5)&quot;;Extended Properties=&quot;&quot;" command="SELECT * FROM [Query1 (5)]"/>
  </connection>
  <connection id="30" xr16:uid="{E2EDDB97-4E2A-4EDC-853B-2B9896EA7003}" keepAlive="1" name="Query - Query1 (6)" description="Connection to the 'Query1 (6)' query in the workbook." type="5" refreshedVersion="6" saveData="1">
    <dbPr connection="Provider=Microsoft.Mashup.OleDb.1;Data Source=$Workbook$;Location=&quot;Query1 (6)&quot;;Extended Properties=&quot;&quot;" command="SELECT * FROM [Query1 (6)]"/>
  </connection>
  <connection id="31" xr16:uid="{A88C61C4-E232-4F83-8FF8-66388F9CF0D8}" keepAlive="1" name="Query - Query1 (7)" description="Connection to the 'Query1 (7)' query in the workbook." type="5" refreshedVersion="6" saveData="1">
    <dbPr connection="Provider=Microsoft.Mashup.OleDb.1;Data Source=$Workbook$;Location=&quot;Query1 (7)&quot;;Extended Properties=&quot;&quot;" command="SELECT * FROM [Query1 (7)]"/>
  </connection>
  <connection id="32" xr16:uid="{3EF5BF0A-3EA7-476A-845F-9FA911CB8B52}" keepAlive="1" name="Query - Query1 (8)" description="Connection to the 'Query1 (8)' query in the workbook." type="5" refreshedVersion="6" saveData="1">
    <dbPr connection="Provider=Microsoft.Mashup.OleDb.1;Data Source=$Workbook$;Location=&quot;Query1 (8)&quot;;Extended Properties=&quot;&quot;" command="SELECT * FROM [Query1 (8)]"/>
  </connection>
  <connection id="33" xr16:uid="{4405BA92-8679-465F-8CAF-B565EE25E7E7}" keepAlive="1" name="Query - Query1 (9)" description="Connection to the 'Query1 (9)' query in the workbook." type="5" refreshedVersion="6" saveData="1">
    <dbPr connection="Provider=Microsoft.Mashup.OleDb.1;Data Source=$Workbook$;Location=&quot;Query1 (9)&quot;;Extended Properties=&quot;&quot;" command="SELECT * FROM [Query1 (9)]"/>
  </connection>
</connections>
</file>

<file path=xl/sharedStrings.xml><?xml version="1.0" encoding="utf-8"?>
<sst xmlns="http://schemas.openxmlformats.org/spreadsheetml/2006/main" count="76" uniqueCount="57">
  <si>
    <t>Shift</t>
  </si>
  <si>
    <t>Day 0 Date</t>
  </si>
  <si>
    <t>Day 0 Time</t>
  </si>
  <si>
    <t>Day 1 Date</t>
  </si>
  <si>
    <t>Day 1 Time</t>
  </si>
  <si>
    <t>Employee ID</t>
  </si>
  <si>
    <t>Badge ID</t>
  </si>
  <si>
    <t>Last Name</t>
  </si>
  <si>
    <t>Manager</t>
  </si>
  <si>
    <t>Day 0 Attendance</t>
  </si>
  <si>
    <t>Day 1 Attendance</t>
  </si>
  <si>
    <t>Active</t>
  </si>
  <si>
    <t>DZ Hours Coded</t>
  </si>
  <si>
    <t>Day 1 punch Added</t>
  </si>
  <si>
    <t>Reason for No Show</t>
  </si>
  <si>
    <t>Folder to Save Archives</t>
  </si>
  <si>
    <t>First Name</t>
  </si>
  <si>
    <t>Attended</t>
  </si>
  <si>
    <t>Y</t>
  </si>
  <si>
    <t>Not Attended</t>
  </si>
  <si>
    <t>N</t>
  </si>
  <si>
    <t>F</t>
  </si>
  <si>
    <t>H&amp;S Fail - (Column N)</t>
  </si>
  <si>
    <t>Reason for Not Attending</t>
  </si>
  <si>
    <t>Password</t>
  </si>
  <si>
    <t>Login</t>
  </si>
  <si>
    <t>Populate this column</t>
  </si>
  <si>
    <t>Department</t>
  </si>
  <si>
    <t>Process</t>
  </si>
  <si>
    <t>Comments</t>
  </si>
  <si>
    <t>Other Comments</t>
  </si>
  <si>
    <t>EMP ID</t>
  </si>
  <si>
    <t>Y/N</t>
  </si>
  <si>
    <t>Y/N/F</t>
  </si>
  <si>
    <t>employee_id</t>
  </si>
  <si>
    <t>balance_date</t>
  </si>
  <si>
    <t>site_id</t>
  </si>
  <si>
    <t>hours</t>
  </si>
  <si>
    <t>Key</t>
  </si>
  <si>
    <t>Badge Number</t>
  </si>
  <si>
    <t>Location</t>
  </si>
  <si>
    <t>Manager Login</t>
  </si>
  <si>
    <t>Manager Name</t>
  </si>
  <si>
    <t>Shift Pattern</t>
  </si>
  <si>
    <t>Dept ID</t>
  </si>
  <si>
    <t>ALPS code</t>
  </si>
  <si>
    <t>Prebooked Holidays</t>
  </si>
  <si>
    <t>Missing Bank Details</t>
  </si>
  <si>
    <t>Document ID</t>
  </si>
  <si>
    <t>Document Type Name</t>
  </si>
  <si>
    <t>Candidate ID</t>
  </si>
  <si>
    <t>Document Status</t>
  </si>
  <si>
    <t>Hire Start Date</t>
  </si>
  <si>
    <t>Job Location Airport Code</t>
  </si>
  <si>
    <t>Orientation Session</t>
  </si>
  <si>
    <t>Orientation Date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</si>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</sst>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[$-409]d\-mmm\-yy;@"/>
    <numFmt numFmtId="166" formatCode="[$-F400]h:mm:ss\ AM/PM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Amazon Ember"/>
      <family val="2"/>
    </font>
    <font>
      <sz val="11"/>
      <color theme="1"/>
      <name val="Amazon Ember"/>
      <family val="2"/>
    </font>
    <font>
      <b/>
      <sz val="11"/>
      <name val="Amazon Ember"/>
      <family val="2"/>
    </font>
    <font>
      <u/>
      <sz val="11"/>
      <color theme="10"/>
      <name val="Amazon Ember"/>
      <family val="2"/>
    </font>
    <font>
      <b/>
      <sz val="12"/>
      <name val="Amazon Ember"/>
      <family val="2"/>
    </font>
    <font>
      <sz val="12"/>
      <name val="Amazon Ember"/>
      <family val="2"/>
    </font>
    <font>
      <b/>
      <sz val="12"/>
      <color theme="1"/>
      <name val="Amazon Ember"/>
      <family val="2"/>
    </font>
    <font>
      <sz val="12"/>
      <color theme="1"/>
      <name val="Amazon Ember"/>
      <family val="2"/>
    </font>
    <font>
      <sz val="9"/>
      <color theme="1"/>
      <name val="Amazon Ember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8DDF9D"/>
        <bgColor indexed="64"/>
      </patternFill>
    </fill>
    <fill>
      <patternFill patternType="solid">
        <fgColor rgb="FF58D06F"/>
        <bgColor indexed="64"/>
      </patternFill>
    </fill>
    <fill>
      <patternFill patternType="solid">
        <fgColor rgb="FF2B953F"/>
        <bgColor indexed="64"/>
      </patternFill>
    </fill>
    <fill>
      <patternFill patternType="solid">
        <fgColor rgb="FF32B44B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</fills>
  <borders count="34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51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8" applyNumberFormat="0" applyFill="0" applyAlignment="0" applyProtection="0"/>
    <xf numFmtId="0" fontId="4" fillId="0" borderId="19" applyNumberFormat="0" applyFill="0" applyAlignment="0" applyProtection="0"/>
    <xf numFmtId="0" fontId="5" fillId="0" borderId="20" applyNumberFormat="0" applyFill="0" applyAlignment="0" applyProtection="0"/>
    <xf numFmtId="0" fontId="5" fillId="0" borderId="0" applyNumberFormat="0" applyFill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9" fillId="13" borderId="21" applyNumberFormat="0" applyAlignment="0" applyProtection="0"/>
    <xf numFmtId="0" fontId="10" fillId="14" borderId="22" applyNumberFormat="0" applyAlignment="0" applyProtection="0"/>
    <xf numFmtId="0" fontId="11" fillId="14" borderId="21" applyNumberFormat="0" applyAlignment="0" applyProtection="0"/>
    <xf numFmtId="0" fontId="12" fillId="0" borderId="23" applyNumberFormat="0" applyFill="0" applyAlignment="0" applyProtection="0"/>
    <xf numFmtId="0" fontId="13" fillId="15" borderId="24" applyNumberFormat="0" applyAlignment="0" applyProtection="0"/>
    <xf numFmtId="0" fontId="14" fillId="0" borderId="0" applyNumberFormat="0" applyFill="0" applyBorder="0" applyAlignment="0" applyProtection="0"/>
    <xf numFmtId="0" fontId="1" fillId="16" borderId="25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26" applyNumberFormat="0" applyFill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7" fillId="4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12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</cellStyleXfs>
  <cellXfs count="96">
    <xf numFmtId="0" fontId="0" fillId="0" borderId="0" xfId="0"/>
    <xf numFmtId="14" fontId="0" fillId="0" borderId="0" xfId="0" applyNumberFormat="1"/>
    <xf numFmtId="2" fontId="0" fillId="0" borderId="0" xfId="0" applyNumberFormat="1"/>
    <xf numFmtId="0" fontId="13" fillId="47" borderId="33" xfId="0" applyFont="1" applyFill="1" applyBorder="1"/>
    <xf numFmtId="0" fontId="13" fillId="47" borderId="28" xfId="0" applyFont="1" applyFill="1" applyBorder="1"/>
    <xf numFmtId="0" fontId="13" fillId="47" borderId="32" xfId="0" applyFont="1" applyFill="1" applyBorder="1"/>
    <xf numFmtId="0" fontId="13" fillId="47" borderId="33" xfId="0" applyNumberFormat="1" applyFont="1" applyFill="1" applyBorder="1"/>
    <xf numFmtId="0" fontId="0" fillId="0" borderId="0" xfId="0" applyNumberFormat="1"/>
    <xf numFmtId="0" fontId="13" fillId="47" borderId="28" xfId="0" applyNumberFormat="1" applyFont="1" applyFill="1" applyBorder="1"/>
    <xf numFmtId="0" fontId="21" fillId="0" borderId="0" xfId="0" applyFont="1" applyFill="1" applyBorder="1" applyProtection="1">
      <protection locked="0"/>
    </xf>
    <xf numFmtId="0" fontId="20" fillId="0" borderId="10" xfId="0" applyFont="1" applyFill="1" applyBorder="1" applyAlignment="1" applyProtection="1">
      <alignment horizontal="center" vertical="center"/>
      <protection locked="0"/>
    </xf>
    <xf numFmtId="0" fontId="20" fillId="4" borderId="11" xfId="0" applyFont="1" applyFill="1" applyBorder="1" applyAlignment="1" applyProtection="1">
      <alignment horizontal="center" vertical="center"/>
      <protection locked="0"/>
    </xf>
    <xf numFmtId="15" fontId="20" fillId="6" borderId="4" xfId="0" applyNumberFormat="1" applyFont="1" applyFill="1" applyBorder="1" applyAlignment="1" applyProtection="1">
      <alignment horizontal="center" vertical="center"/>
      <protection locked="0"/>
    </xf>
    <xf numFmtId="15" fontId="20" fillId="0" borderId="0" xfId="0" applyNumberFormat="1" applyFont="1" applyFill="1" applyBorder="1" applyAlignment="1" applyProtection="1">
      <alignment vertical="center"/>
      <protection locked="0"/>
    </xf>
    <xf numFmtId="0" fontId="20" fillId="0" borderId="11" xfId="0" applyFont="1" applyFill="1" applyBorder="1" applyAlignment="1" applyProtection="1">
      <alignment horizontal="center" vertical="center"/>
      <protection locked="0"/>
    </xf>
    <xf numFmtId="0" fontId="20" fillId="43" borderId="1" xfId="0" applyFont="1" applyFill="1" applyBorder="1" applyAlignment="1" applyProtection="1">
      <alignment horizontal="center" vertical="center"/>
      <protection locked="0"/>
    </xf>
    <xf numFmtId="15" fontId="20" fillId="7" borderId="4" xfId="0" applyNumberFormat="1" applyFont="1" applyFill="1" applyBorder="1" applyAlignment="1" applyProtection="1">
      <alignment horizontal="center" vertical="center"/>
      <protection locked="0"/>
    </xf>
    <xf numFmtId="0" fontId="20" fillId="0" borderId="9" xfId="0" applyFont="1" applyFill="1" applyBorder="1" applyAlignment="1" applyProtection="1">
      <alignment horizontal="center" vertical="center"/>
      <protection locked="0"/>
    </xf>
    <xf numFmtId="0" fontId="20" fillId="44" borderId="11" xfId="0" applyFont="1" applyFill="1" applyBorder="1" applyAlignment="1" applyProtection="1">
      <alignment horizontal="center" vertical="center"/>
      <protection locked="0"/>
    </xf>
    <xf numFmtId="15" fontId="20" fillId="9" borderId="4" xfId="0" applyNumberFormat="1" applyFont="1" applyFill="1" applyBorder="1" applyAlignment="1" applyProtection="1">
      <alignment horizontal="center" vertical="center"/>
      <protection locked="0"/>
    </xf>
    <xf numFmtId="0" fontId="24" fillId="0" borderId="29" xfId="0" applyFont="1" applyBorder="1" applyAlignment="1" applyProtection="1">
      <alignment horizontal="center" vertical="center"/>
      <protection locked="0"/>
    </xf>
    <xf numFmtId="0" fontId="24" fillId="0" borderId="29" xfId="0" applyFont="1" applyFill="1" applyBorder="1" applyAlignment="1" applyProtection="1">
      <alignment horizontal="center" vertical="center"/>
      <protection locked="0"/>
    </xf>
    <xf numFmtId="0" fontId="24" fillId="0" borderId="16" xfId="0" applyFont="1" applyBorder="1" applyAlignment="1" applyProtection="1">
      <alignment horizontal="center" vertical="center"/>
      <protection locked="0"/>
    </xf>
    <xf numFmtId="0" fontId="25" fillId="0" borderId="0" xfId="0" applyFont="1" applyFill="1" applyBorder="1" applyProtection="1">
      <protection locked="0"/>
    </xf>
    <xf numFmtId="165" fontId="21" fillId="0" borderId="27" xfId="0" applyNumberFormat="1" applyFont="1" applyFill="1" applyBorder="1" applyAlignment="1">
      <alignment horizontal="center" vertical="center"/>
    </xf>
    <xf numFmtId="20" fontId="21" fillId="0" borderId="0" xfId="0" applyNumberFormat="1" applyFont="1" applyFill="1" applyBorder="1" applyAlignment="1" applyProtection="1">
      <alignment horizontal="center" vertical="center"/>
      <protection locked="0"/>
    </xf>
    <xf numFmtId="165" fontId="21" fillId="0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horizontal="center" vertical="center"/>
    </xf>
    <xf numFmtId="1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horizontal="center"/>
      <protection locked="0"/>
    </xf>
    <xf numFmtId="0" fontId="21" fillId="0" borderId="28" xfId="0" applyFont="1" applyFill="1" applyBorder="1" applyAlignment="1" applyProtection="1">
      <alignment horizontal="center" vertical="center"/>
    </xf>
    <xf numFmtId="0" fontId="21" fillId="0" borderId="0" xfId="0" applyFont="1" applyFill="1" applyProtection="1">
      <protection locked="0"/>
    </xf>
    <xf numFmtId="0" fontId="21" fillId="0" borderId="0" xfId="0" applyFont="1" applyFill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165" fontId="21" fillId="45" borderId="0" xfId="0" applyNumberFormat="1" applyFont="1" applyFill="1" applyAlignment="1">
      <alignment horizontal="center" vertical="center"/>
    </xf>
    <xf numFmtId="165" fontId="27" fillId="4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21" fillId="2" borderId="0" xfId="0" applyNumberFormat="1" applyFont="1" applyFill="1" applyAlignment="1">
      <alignment horizontal="center" vertical="center"/>
    </xf>
    <xf numFmtId="165" fontId="27" fillId="2" borderId="0" xfId="0" applyNumberFormat="1" applyFont="1" applyFill="1" applyAlignment="1">
      <alignment horizontal="center" vertical="center"/>
    </xf>
    <xf numFmtId="165" fontId="21" fillId="46" borderId="12" xfId="0" applyNumberFormat="1" applyFont="1" applyFill="1" applyBorder="1" applyAlignment="1">
      <alignment horizontal="center" vertical="center"/>
    </xf>
    <xf numFmtId="166" fontId="21" fillId="46" borderId="13" xfId="0" applyNumberFormat="1" applyFont="1" applyFill="1" applyBorder="1" applyAlignment="1">
      <alignment horizontal="center" vertical="center"/>
    </xf>
    <xf numFmtId="165" fontId="21" fillId="46" borderId="13" xfId="0" applyNumberFormat="1" applyFont="1" applyFill="1" applyBorder="1" applyAlignment="1">
      <alignment horizontal="center" vertical="center"/>
    </xf>
    <xf numFmtId="0" fontId="21" fillId="46" borderId="13" xfId="0" applyFont="1" applyFill="1" applyBorder="1" applyAlignment="1">
      <alignment horizontal="center" vertical="center"/>
    </xf>
    <xf numFmtId="1" fontId="21" fillId="46" borderId="13" xfId="0" applyNumberFormat="1" applyFont="1" applyFill="1" applyBorder="1" applyAlignment="1">
      <alignment horizontal="center" vertical="center"/>
    </xf>
    <xf numFmtId="0" fontId="21" fillId="46" borderId="15" xfId="0" applyFont="1" applyFill="1" applyBorder="1" applyAlignment="1">
      <alignment horizontal="center" vertical="center"/>
    </xf>
    <xf numFmtId="165" fontId="21" fillId="0" borderId="27" xfId="0" applyNumberFormat="1" applyFont="1" applyBorder="1" applyAlignment="1">
      <alignment horizontal="center" vertical="center"/>
    </xf>
    <xf numFmtId="20" fontId="21" fillId="42" borderId="0" xfId="0" applyNumberFormat="1" applyFont="1" applyFill="1" applyBorder="1" applyAlignment="1" applyProtection="1">
      <alignment horizontal="center" vertical="center"/>
      <protection locked="0"/>
    </xf>
    <xf numFmtId="165" fontId="21" fillId="0" borderId="0" xfId="0" applyNumberFormat="1" applyFont="1" applyBorder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1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/>
    <xf numFmtId="0" fontId="28" fillId="0" borderId="0" xfId="0" applyFont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28" fillId="0" borderId="0" xfId="0" applyNumberFormat="1" applyFont="1" applyAlignment="1">
      <alignment horizontal="center" vertical="center"/>
    </xf>
    <xf numFmtId="0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right" wrapText="1"/>
    </xf>
    <xf numFmtId="49" fontId="0" fillId="0" borderId="0" xfId="0" applyNumberFormat="1" applyAlignment="1">
      <alignment wrapText="1"/>
    </xf>
    <xf numFmtId="15" fontId="21" fillId="46" borderId="14" xfId="0" applyNumberFormat="1" applyFont="1" applyFill="1" applyBorder="1" applyAlignment="1">
      <alignment horizontal="center" vertical="center"/>
    </xf>
    <xf numFmtId="0" fontId="21" fillId="46" borderId="12" xfId="0" applyNumberFormat="1" applyFont="1" applyFill="1" applyBorder="1" applyAlignment="1">
      <alignment horizontal="center" vertical="center"/>
    </xf>
    <xf numFmtId="15" fontId="20" fillId="9" borderId="4" xfId="0" applyNumberFormat="1" applyFont="1" applyFill="1" applyBorder="1" applyAlignment="1" applyProtection="1">
      <alignment horizontal="center" vertical="center"/>
      <protection locked="0"/>
    </xf>
    <xf numFmtId="15" fontId="20" fillId="9" borderId="0" xfId="0" applyNumberFormat="1" applyFont="1" applyFill="1" applyBorder="1" applyAlignment="1" applyProtection="1">
      <alignment horizontal="center" vertical="center"/>
      <protection locked="0"/>
    </xf>
    <xf numFmtId="15" fontId="20" fillId="9" borderId="1" xfId="0" applyNumberFormat="1" applyFont="1" applyFill="1" applyBorder="1" applyAlignment="1" applyProtection="1">
      <alignment horizontal="center" vertical="center"/>
      <protection locked="0"/>
    </xf>
    <xf numFmtId="15" fontId="20" fillId="8" borderId="9" xfId="0" applyNumberFormat="1" applyFont="1" applyFill="1" applyBorder="1" applyAlignment="1" applyProtection="1">
      <alignment horizontal="center" vertical="center"/>
      <protection locked="0"/>
    </xf>
    <xf numFmtId="15" fontId="20" fillId="8" borderId="8" xfId="0" applyNumberFormat="1" applyFont="1" applyFill="1" applyBorder="1" applyAlignment="1" applyProtection="1">
      <alignment horizontal="center" vertical="center"/>
      <protection locked="0"/>
    </xf>
    <xf numFmtId="15" fontId="20" fillId="5" borderId="10" xfId="0" applyNumberFormat="1" applyFont="1" applyFill="1" applyBorder="1" applyAlignment="1" applyProtection="1">
      <alignment horizontal="center" vertical="center"/>
      <protection locked="0"/>
    </xf>
    <xf numFmtId="15" fontId="20" fillId="5" borderId="2" xfId="0" applyNumberFormat="1" applyFont="1" applyFill="1" applyBorder="1" applyAlignment="1" applyProtection="1">
      <alignment horizontal="center" vertical="center"/>
      <protection locked="0"/>
    </xf>
    <xf numFmtId="15" fontId="20" fillId="6" borderId="4" xfId="0" applyNumberFormat="1" applyFont="1" applyFill="1" applyBorder="1" applyAlignment="1" applyProtection="1">
      <alignment horizontal="center" vertical="center"/>
      <protection locked="0"/>
    </xf>
    <xf numFmtId="15" fontId="20" fillId="6" borderId="0" xfId="0" applyNumberFormat="1" applyFont="1" applyFill="1" applyBorder="1" applyAlignment="1" applyProtection="1">
      <alignment horizontal="center" vertical="center"/>
      <protection locked="0"/>
    </xf>
    <xf numFmtId="15" fontId="20" fillId="6" borderId="1" xfId="0" applyNumberFormat="1" applyFont="1" applyFill="1" applyBorder="1" applyAlignment="1" applyProtection="1">
      <alignment horizontal="center" vertical="center"/>
      <protection locked="0"/>
    </xf>
    <xf numFmtId="15" fontId="20" fillId="7" borderId="4" xfId="0" applyNumberFormat="1" applyFont="1" applyFill="1" applyBorder="1" applyAlignment="1" applyProtection="1">
      <alignment horizontal="center" vertical="center"/>
      <protection locked="0"/>
    </xf>
    <xf numFmtId="15" fontId="20" fillId="7" borderId="0" xfId="0" applyNumberFormat="1" applyFont="1" applyFill="1" applyBorder="1" applyAlignment="1" applyProtection="1">
      <alignment horizontal="center" vertical="center"/>
      <protection locked="0"/>
    </xf>
    <xf numFmtId="15" fontId="20" fillId="7" borderId="1" xfId="0" applyNumberFormat="1" applyFont="1" applyFill="1" applyBorder="1" applyAlignment="1" applyProtection="1">
      <alignment horizontal="center" vertical="center"/>
      <protection locked="0"/>
    </xf>
    <xf numFmtId="15" fontId="22" fillId="41" borderId="5" xfId="0" applyNumberFormat="1" applyFont="1" applyFill="1" applyBorder="1" applyAlignment="1" applyProtection="1">
      <alignment horizontal="center" vertical="center"/>
    </xf>
    <xf numFmtId="15" fontId="22" fillId="41" borderId="17" xfId="0" applyNumberFormat="1" applyFont="1" applyFill="1" applyBorder="1" applyAlignment="1" applyProtection="1">
      <alignment horizontal="center" vertical="center"/>
    </xf>
    <xf numFmtId="15" fontId="23" fillId="0" borderId="5" xfId="43" applyNumberFormat="1" applyFont="1" applyFill="1" applyBorder="1" applyAlignment="1" applyProtection="1">
      <alignment horizontal="center" vertical="center"/>
      <protection locked="0"/>
    </xf>
    <xf numFmtId="15" fontId="23" fillId="0" borderId="6" xfId="43" applyNumberFormat="1" applyFont="1" applyFill="1" applyBorder="1" applyAlignment="1" applyProtection="1">
      <alignment horizontal="center" vertical="center"/>
      <protection locked="0"/>
    </xf>
    <xf numFmtId="15" fontId="23" fillId="0" borderId="17" xfId="43" applyNumberFormat="1" applyFont="1" applyFill="1" applyBorder="1" applyAlignment="1" applyProtection="1">
      <alignment horizontal="center" vertical="center"/>
      <protection locked="0"/>
    </xf>
    <xf numFmtId="166" fontId="26" fillId="3" borderId="30" xfId="0" applyNumberFormat="1" applyFont="1" applyFill="1" applyBorder="1" applyAlignment="1">
      <alignment horizontal="center" vertical="center" wrapText="1"/>
    </xf>
    <xf numFmtId="166" fontId="26" fillId="3" borderId="31" xfId="0" applyNumberFormat="1" applyFont="1" applyFill="1" applyBorder="1" applyAlignment="1">
      <alignment horizontal="center" vertical="center" wrapText="1"/>
    </xf>
    <xf numFmtId="0" fontId="26" fillId="3" borderId="10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1" fontId="21" fillId="45" borderId="9" xfId="0" applyNumberFormat="1" applyFont="1" applyFill="1" applyBorder="1" applyAlignment="1">
      <alignment horizontal="center" vertical="center"/>
    </xf>
    <xf numFmtId="1" fontId="21" fillId="45" borderId="8" xfId="0" applyNumberFormat="1" applyFont="1" applyFill="1" applyBorder="1" applyAlignment="1">
      <alignment horizontal="center" vertical="center"/>
    </xf>
    <xf numFmtId="1" fontId="21" fillId="45" borderId="7" xfId="0" applyNumberFormat="1" applyFont="1" applyFill="1" applyBorder="1" applyAlignment="1">
      <alignment horizontal="center" vertical="center"/>
    </xf>
    <xf numFmtId="1" fontId="21" fillId="2" borderId="4" xfId="0" applyNumberFormat="1" applyFont="1" applyFill="1" applyBorder="1" applyAlignment="1">
      <alignment horizontal="center" vertical="center"/>
    </xf>
    <xf numFmtId="1" fontId="21" fillId="2" borderId="0" xfId="0" applyNumberFormat="1" applyFont="1" applyFill="1" applyBorder="1" applyAlignment="1">
      <alignment horizontal="center" vertical="center"/>
    </xf>
    <xf numFmtId="1" fontId="21" fillId="2" borderId="1" xfId="0" applyNumberFormat="1" applyFont="1" applyFill="1" applyBorder="1" applyAlignment="1">
      <alignment horizontal="center" vertical="center"/>
    </xf>
    <xf numFmtId="1" fontId="21" fillId="45" borderId="10" xfId="0" applyNumberFormat="1" applyFont="1" applyFill="1" applyBorder="1" applyAlignment="1">
      <alignment horizontal="center" vertical="center"/>
    </xf>
    <xf numFmtId="1" fontId="21" fillId="45" borderId="2" xfId="0" applyNumberFormat="1" applyFont="1" applyFill="1" applyBorder="1" applyAlignment="1">
      <alignment horizontal="center" vertical="center"/>
    </xf>
    <xf numFmtId="1" fontId="21" fillId="45" borderId="3" xfId="0" applyNumberFormat="1" applyFont="1" applyFill="1" applyBorder="1" applyAlignment="1">
      <alignment horizontal="center" vertical="center"/>
    </xf>
  </cellXfs>
  <cellStyles count="51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1 2" xfId="45" xr:uid="{00000000-0005-0000-0000-000032000000}"/>
    <cellStyle name="60% - Accent2" xfId="26" builtinId="36" customBuiltin="1"/>
    <cellStyle name="60% - Accent2 2" xfId="46" xr:uid="{00000000-0005-0000-0000-000033000000}"/>
    <cellStyle name="60% - Accent3" xfId="30" builtinId="40" customBuiltin="1"/>
    <cellStyle name="60% - Accent3 2" xfId="47" xr:uid="{00000000-0005-0000-0000-000034000000}"/>
    <cellStyle name="60% - Accent4" xfId="34" builtinId="44" customBuiltin="1"/>
    <cellStyle name="60% - Accent4 2" xfId="48" xr:uid="{00000000-0005-0000-0000-000035000000}"/>
    <cellStyle name="60% - Accent5" xfId="38" builtinId="48" customBuiltin="1"/>
    <cellStyle name="60% - Accent5 2" xfId="49" xr:uid="{00000000-0005-0000-0000-000036000000}"/>
    <cellStyle name="60% - Accent6" xfId="42" builtinId="52" customBuiltin="1"/>
    <cellStyle name="60% - Accent6 2" xfId="50" xr:uid="{00000000-0005-0000-0000-000037000000}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eutral 2" xfId="44" xr:uid="{00000000-0005-0000-0000-000038000000}"/>
    <cellStyle name="Normal" xfId="0" builtinId="0"/>
    <cellStyle name="Note" xfId="16" builtinId="10" customBuiltin="1"/>
    <cellStyle name="Output" xfId="11" builtinId="21" customBuiltin="1"/>
    <cellStyle name="Percent 2" xfId="1" xr:uid="{00000000-0005-0000-0000-000027000000}"/>
    <cellStyle name="Title" xfId="2" builtinId="15" customBuiltin="1"/>
    <cellStyle name="Total" xfId="18" builtinId="25" customBuiltin="1"/>
    <cellStyle name="Warning Text" xfId="15" builtinId="11" customBuiltin="1"/>
  </cellStyles>
  <dxfs count="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border outline="0">
        <left style="thin">
          <color rgb="FF000000"/>
        </left>
        <top style="thin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mazon Ember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border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2"/>
        <color auto="1"/>
        <name val="Amazon Ember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gradientFill degree="90">
          <stop position="0">
            <color rgb="FF2B953F"/>
          </stop>
          <stop position="0.5">
            <color rgb="FF8DDF9D"/>
          </stop>
          <stop position="1">
            <color rgb="FF2B953F"/>
          </stop>
        </gradient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  <dxf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ill>
        <patternFill>
          <bgColor theme="9" tint="0.79998168889431442"/>
        </patternFill>
      </fill>
    </dxf>
  </dxfs>
  <tableStyles count="3" defaultTableStyle="TableStyleMedium2" defaultPivotStyle="PivotStyleLight16">
    <tableStyle name="Chris P Special" pivot="0" count="3" xr9:uid="{00000000-0011-0000-FFFF-FFFF00000000}">
      <tableStyleElement type="wholeTable" dxfId="46"/>
      <tableStyleElement type="headerRow" dxfId="45"/>
      <tableStyleElement type="secondRowStripe" dxfId="44"/>
    </tableStyle>
    <tableStyle name="Table Style Unique" pivot="0" count="0" xr9:uid="{00000000-0011-0000-FFFF-FFFF01000000}"/>
    <tableStyle name="TableStyleMedium7 2" pivot="0" count="7" xr9:uid="{00000000-0011-0000-FFFF-FFFF02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</tableStyles>
  <colors>
    <mruColors>
      <color rgb="FFFF6600"/>
      <color rgb="FF58D06F"/>
      <color rgb="FFFF843F"/>
      <color rgb="FF237B34"/>
      <color rgb="FF008000"/>
      <color rgb="FF8DDF9D"/>
      <color rgb="FF2B953F"/>
      <color rgb="FF16EE5E"/>
      <color rgb="FF32B44B"/>
      <color rgb="FF34BA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509929</xdr:colOff>
      <xdr:row>0</xdr:row>
      <xdr:rowOff>81643</xdr:rowOff>
    </xdr:from>
    <xdr:to>
      <xdr:col>5</xdr:col>
      <xdr:colOff>530905</xdr:colOff>
      <xdr:row>4</xdr:row>
      <xdr:rowOff>96920</xdr:rowOff>
    </xdr:to>
    <xdr:pic macro="[0]!MsgBox1">
      <xdr:nvPicPr>
        <xdr:cNvPr id="2" name="Picture 1">
          <a:extLst>
            <a:ext uri="{FF2B5EF4-FFF2-40B4-BE49-F238E27FC236}">
              <a16:creationId xmlns:a16="http://schemas.microsoft.com/office/drawing/2014/main" id="{BA625A96-BB33-435F-9E4E-04DA0C981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5129" y="81643"/>
          <a:ext cx="2478426" cy="814016"/>
        </a:xfrm>
        <a:prstGeom prst="roundRect">
          <a:avLst>
            <a:gd name="adj" fmla="val 16667"/>
          </a:avLst>
        </a:prstGeom>
        <a:ln w="3175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13</xdr:col>
      <xdr:colOff>813254</xdr:colOff>
      <xdr:row>0</xdr:row>
      <xdr:rowOff>78343</xdr:rowOff>
    </xdr:from>
    <xdr:to>
      <xdr:col>15</xdr:col>
      <xdr:colOff>50347</xdr:colOff>
      <xdr:row>4</xdr:row>
      <xdr:rowOff>116925</xdr:rowOff>
    </xdr:to>
    <xdr:pic macro="[0]!RaiseSim">
      <xdr:nvPicPr>
        <xdr:cNvPr id="3" name="Picture 2">
          <a:extLst>
            <a:ext uri="{FF2B5EF4-FFF2-40B4-BE49-F238E27FC236}">
              <a16:creationId xmlns:a16="http://schemas.microsoft.com/office/drawing/2014/main" id="{CC0B801F-42A3-4E9F-9290-BB72DB2C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34354" y="78343"/>
          <a:ext cx="2405743" cy="837321"/>
        </a:xfrm>
        <a:prstGeom prst="roundRect">
          <a:avLst>
            <a:gd name="adj" fmla="val 16667"/>
          </a:avLst>
        </a:prstGeom>
        <a:ln w="1905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0</xdr:col>
      <xdr:colOff>476250</xdr:colOff>
      <xdr:row>0</xdr:row>
      <xdr:rowOff>81643</xdr:rowOff>
    </xdr:from>
    <xdr:to>
      <xdr:col>2</xdr:col>
      <xdr:colOff>1001174</xdr:colOff>
      <xdr:row>4</xdr:row>
      <xdr:rowOff>57943</xdr:rowOff>
    </xdr:to>
    <xdr:pic macro="[0]!RefreshRoster">
      <xdr:nvPicPr>
        <xdr:cNvPr id="4" name="Picture 3">
          <a:extLst>
            <a:ext uri="{FF2B5EF4-FFF2-40B4-BE49-F238E27FC236}">
              <a16:creationId xmlns:a16="http://schemas.microsoft.com/office/drawing/2014/main" id="{BC07577F-F593-481C-8CBA-27E3C7FD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81643"/>
          <a:ext cx="2864899" cy="775039"/>
        </a:xfrm>
        <a:prstGeom prst="roundRect">
          <a:avLst>
            <a:gd name="adj" fmla="val 16667"/>
          </a:avLst>
        </a:prstGeom>
        <a:ln w="25400">
          <a:solidFill>
            <a:srgbClr val="58D06F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738188</xdr:colOff>
      <xdr:row>0</xdr:row>
      <xdr:rowOff>47620</xdr:rowOff>
    </xdr:from>
    <xdr:to>
      <xdr:col>10</xdr:col>
      <xdr:colOff>449264</xdr:colOff>
      <xdr:row>2</xdr:row>
      <xdr:rowOff>162687</xdr:rowOff>
    </xdr:to>
    <xdr:pic macro="[0]!Export">
      <xdr:nvPicPr>
        <xdr:cNvPr id="15" name="Picture 14">
          <a:extLst>
            <a:ext uri="{FF2B5EF4-FFF2-40B4-BE49-F238E27FC236}">
              <a16:creationId xmlns:a16="http://schemas.microsoft.com/office/drawing/2014/main" id="{B60338B6-C638-477A-AAB9-6EEEC6733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2469" y="47620"/>
          <a:ext cx="2047876" cy="523055"/>
        </a:xfrm>
        <a:prstGeom prst="roundRect">
          <a:avLst>
            <a:gd name="adj" fmla="val 16667"/>
          </a:avLst>
        </a:prstGeom>
        <a:ln w="28575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</xdr:col>
      <xdr:colOff>71437</xdr:colOff>
      <xdr:row>1</xdr:row>
      <xdr:rowOff>107158</xdr:rowOff>
    </xdr:from>
    <xdr:to>
      <xdr:col>1</xdr:col>
      <xdr:colOff>250031</xdr:colOff>
      <xdr:row>2</xdr:row>
      <xdr:rowOff>119063</xdr:rowOff>
    </xdr:to>
    <xdr:sp macro="" textlink="">
      <xdr:nvSpPr>
        <xdr:cNvPr id="16" name="Arrow: Down 15">
          <a:extLst>
            <a:ext uri="{FF2B5EF4-FFF2-40B4-BE49-F238E27FC236}">
              <a16:creationId xmlns:a16="http://schemas.microsoft.com/office/drawing/2014/main" id="{3BF09F55-E47D-47FD-AE97-BAD3E991E993}"/>
            </a:ext>
          </a:extLst>
        </xdr:cNvPr>
        <xdr:cNvSpPr/>
      </xdr:nvSpPr>
      <xdr:spPr>
        <a:xfrm>
          <a:off x="1238250" y="309564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902493</xdr:colOff>
      <xdr:row>1</xdr:row>
      <xdr:rowOff>116683</xdr:rowOff>
    </xdr:from>
    <xdr:to>
      <xdr:col>1</xdr:col>
      <xdr:colOff>1081087</xdr:colOff>
      <xdr:row>2</xdr:row>
      <xdr:rowOff>128588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23C000B8-1F64-4CFC-801D-130CA31CD013}"/>
            </a:ext>
          </a:extLst>
        </xdr:cNvPr>
        <xdr:cNvSpPr/>
      </xdr:nvSpPr>
      <xdr:spPr>
        <a:xfrm>
          <a:off x="2069306" y="319089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71437</xdr:colOff>
      <xdr:row>1</xdr:row>
      <xdr:rowOff>107158</xdr:rowOff>
    </xdr:from>
    <xdr:to>
      <xdr:col>3</xdr:col>
      <xdr:colOff>250031</xdr:colOff>
      <xdr:row>2</xdr:row>
      <xdr:rowOff>119063</xdr:rowOff>
    </xdr:to>
    <xdr:sp macro="" textlink="">
      <xdr:nvSpPr>
        <xdr:cNvPr id="26" name="Arrow: Down 25">
          <a:extLst>
            <a:ext uri="{FF2B5EF4-FFF2-40B4-BE49-F238E27FC236}">
              <a16:creationId xmlns:a16="http://schemas.microsoft.com/office/drawing/2014/main" id="{032BDC55-E6B8-431D-8AD7-176CCC7CB037}"/>
            </a:ext>
          </a:extLst>
        </xdr:cNvPr>
        <xdr:cNvSpPr/>
      </xdr:nvSpPr>
      <xdr:spPr>
        <a:xfrm>
          <a:off x="1238250" y="309564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902493</xdr:colOff>
      <xdr:row>1</xdr:row>
      <xdr:rowOff>116683</xdr:rowOff>
    </xdr:from>
    <xdr:to>
      <xdr:col>3</xdr:col>
      <xdr:colOff>1081087</xdr:colOff>
      <xdr:row>2</xdr:row>
      <xdr:rowOff>128588</xdr:rowOff>
    </xdr:to>
    <xdr:sp macro="" textlink="">
      <xdr:nvSpPr>
        <xdr:cNvPr id="27" name="Arrow: Down 26">
          <a:extLst>
            <a:ext uri="{FF2B5EF4-FFF2-40B4-BE49-F238E27FC236}">
              <a16:creationId xmlns:a16="http://schemas.microsoft.com/office/drawing/2014/main" id="{CA0C57BC-FE1F-4733-A234-A124C0185465}"/>
            </a:ext>
          </a:extLst>
        </xdr:cNvPr>
        <xdr:cNvSpPr/>
      </xdr:nvSpPr>
      <xdr:spPr>
        <a:xfrm>
          <a:off x="2069306" y="319089"/>
          <a:ext cx="178594" cy="214312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5</xdr:col>
      <xdr:colOff>690562</xdr:colOff>
      <xdr:row>0</xdr:row>
      <xdr:rowOff>62312</xdr:rowOff>
    </xdr:from>
    <xdr:to>
      <xdr:col>6</xdr:col>
      <xdr:colOff>1401763</xdr:colOff>
      <xdr:row>2</xdr:row>
      <xdr:rowOff>177998</xdr:rowOff>
    </xdr:to>
    <xdr:pic macro="[0]!Refresh">
      <xdr:nvPicPr>
        <xdr:cNvPr id="4" name="Picture 3">
          <a:extLst>
            <a:ext uri="{FF2B5EF4-FFF2-40B4-BE49-F238E27FC236}">
              <a16:creationId xmlns:a16="http://schemas.microsoft.com/office/drawing/2014/main" id="{F8AA5FE1-F2D1-4B1E-B85A-89BC7F18F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3718" y="62312"/>
          <a:ext cx="2166939" cy="517324"/>
        </a:xfrm>
        <a:prstGeom prst="roundRect">
          <a:avLst>
            <a:gd name="adj" fmla="val 16667"/>
          </a:avLst>
        </a:prstGeom>
        <a:ln w="25400">
          <a:solidFill>
            <a:schemeClr val="tx1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BE247-AFA0-44BD-BC4B-7C126397AF15}" name="Table3362" displayName="Table3362" ref="A6:S7" totalsRowShown="0" headerRowDxfId="27" dataDxfId="25" headerRowBorderDxfId="26" tableBorderDxfId="24">
  <autoFilter ref="A6:S7" xr:uid="{6BCDCAE1-8F31-4DDF-A4C9-F16F09970EC3}"/>
  <tableColumns count="19">
    <tableColumn id="1" xr3:uid="{937CB3F8-0058-4AA3-8367-BE6E67BA9E0A}" name="Day 0 Date" dataDxfId="23"/>
    <tableColumn id="2" xr3:uid="{B76C5C4B-7615-4E1C-97C3-A87A9AEC125D}" name="Day 0 Time" dataDxfId="22"/>
    <tableColumn id="3" xr3:uid="{9374C86F-899D-4D0E-9C80-4100ACBD42AF}" name="Day 1 Date" dataDxfId="21"/>
    <tableColumn id="4" xr3:uid="{E07D1500-9D3F-4891-8BE8-D6C54D602487}" name="Day 1 Time" dataDxfId="20"/>
    <tableColumn id="5" xr3:uid="{18129BE2-CB72-4E65-B98B-2CB54977AF26}" name="Employee ID" dataDxfId="19"/>
    <tableColumn id="6" xr3:uid="{E2A3009C-0E2C-46AE-A11C-B32F3EB28156}" name="Badge ID" dataDxfId="18">
      <calculatedColumnFormula>_xlfn.IFNA(VLOOKUP(E7,Roster!B:C,2,FALSE),"")</calculatedColumnFormula>
    </tableColumn>
    <tableColumn id="8" xr3:uid="{515EE4AA-B949-45F1-8158-F635506E0845}" name="First Name" dataDxfId="17"/>
    <tableColumn id="9" xr3:uid="{1805E6F1-BF96-4719-AEEA-9DB5DA34BEAA}" name="Last Name" dataDxfId="16"/>
    <tableColumn id="10" xr3:uid="{CC135E9A-E0AA-4202-976F-DF005DD04ABB}" name="Manager" dataDxfId="15"/>
    <tableColumn id="11" xr3:uid="{B34E1BE1-8251-4DDD-AEE8-4AEE1984CE41}" name="Shift" dataDxfId="14"/>
    <tableColumn id="12" xr3:uid="{EDA3754C-527C-41CB-9B1D-936345C4498A}" name="Department" dataDxfId="13"/>
    <tableColumn id="15" xr3:uid="{5258FF38-2006-4492-8B1A-A1DEFFCE446E}" name="Process" dataDxfId="12"/>
    <tableColumn id="17" xr3:uid="{8D29D7D5-0191-42FE-A225-5710C7C3254B}" name="Day 0 Attendance" dataDxfId="11"/>
    <tableColumn id="20" xr3:uid="{8917BDBD-ED56-49ED-981D-400E2AAE50FF}" name="Day 1 Attendance" dataDxfId="10"/>
    <tableColumn id="19" xr3:uid="{C079F65A-979A-4639-8D56-3212E41E1810}" name="Reason for No Show" dataDxfId="9"/>
    <tableColumn id="14" xr3:uid="{56B028CE-0CED-4D36-AA75-A0E5C4F76B44}" name="Other Comments" dataDxfId="8"/>
    <tableColumn id="16" xr3:uid="{7FC4F4CC-2309-4D77-B6E3-DD18BC7DBEB0}" name="Active" dataDxfId="7">
      <calculatedColumnFormula>_xlfn.IFNA(IF(VLOOKUP(E7,Roster!B:I,8,0)&gt;0,"Active"),"N")</calculatedColumnFormula>
    </tableColumn>
    <tableColumn id="18" xr3:uid="{713B0D90-639D-4F82-9657-4DB46E99F370}" name="DZ Hours Coded" dataDxfId="6">
      <calculatedColumnFormula array="1">_xlfn.IFNA(INDEX('New Hire Hours'!$A:$I,MATCH(1,('New Hire Hours'!$A:$A=E7)*('New Hire Hours'!$B:$B=A7),0),4),"N")</calculatedColumnFormula>
    </tableColumn>
    <tableColumn id="7" xr3:uid="{2D64C842-D9BF-46C4-B085-C568C23DF4C2}" name="Day 1 punch Added" dataDxfId="5">
      <calculatedColumnFormula array="1">_xlfn.IFNA(INDEX('New Hire Hours'!$A:$I,MATCH(1,('New Hire Hours'!$A:$A=E7)*('New Hire Hours'!$B:$B=C7),0),4),"N")</calculatedColumnFormula>
    </tableColumn>
  </tableColumns>
  <tableStyleInfo name="TableStyleMedium7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F294-B87D-44E1-A377-C2EFCA9C7D72}">
  <sheetPr codeName="Sheet24"/>
  <dimension ref="A1:AD7"/>
  <sheetViews>
    <sheetView zoomScale="70" zoomScaleNormal="70" workbookViewId="0">
      <selection activeCell="E16" sqref="E16"/>
    </sheetView>
  </sheetViews>
  <sheetFormatPr defaultColWidth="0" defaultRowHeight="14.5" x14ac:dyDescent="0.35"/>
  <cols>
    <col min="1" max="1" width="17.453125" style="32" customWidth="1"/>
    <col min="2" max="2" width="17.81640625" style="32" bestFit="1" customWidth="1"/>
    <col min="3" max="3" width="17.453125" style="32" bestFit="1" customWidth="1"/>
    <col min="4" max="4" width="17.81640625" style="32" bestFit="1" customWidth="1"/>
    <col min="5" max="5" width="19.1796875" style="33" bestFit="1" customWidth="1"/>
    <col min="6" max="6" width="15.1796875" style="32" bestFit="1" customWidth="1"/>
    <col min="7" max="7" width="20.453125" style="32" customWidth="1"/>
    <col min="8" max="8" width="20" style="32" customWidth="1"/>
    <col min="9" max="9" width="24.1796875" style="32" customWidth="1"/>
    <col min="10" max="10" width="17.1796875" style="32" customWidth="1"/>
    <col min="11" max="11" width="18.81640625" style="32" customWidth="1"/>
    <col min="12" max="12" width="19.1796875" style="32" customWidth="1"/>
    <col min="13" max="13" width="21.54296875" style="32" customWidth="1"/>
    <col min="14" max="14" width="20.81640625" style="32" customWidth="1"/>
    <col min="15" max="15" width="26.81640625" style="32" customWidth="1"/>
    <col min="16" max="16" width="26.1796875" style="32" customWidth="1"/>
    <col min="17" max="17" width="22.1796875" style="34" bestFit="1" customWidth="1"/>
    <col min="18" max="18" width="18.81640625" style="35" customWidth="1"/>
    <col min="19" max="19" width="26.1796875" style="30" customWidth="1"/>
    <col min="20" max="26" width="24.54296875" style="9" hidden="1" customWidth="1"/>
    <col min="27" max="27" width="9.81640625" style="9" hidden="1" customWidth="1"/>
    <col min="28" max="28" width="8.453125" style="9" hidden="1" customWidth="1"/>
    <col min="29" max="30" width="10.1796875" style="9" hidden="1" customWidth="1"/>
    <col min="31" max="16384" width="24.54296875" style="9" hidden="1"/>
  </cols>
  <sheetData>
    <row r="1" spans="1:19" ht="15" thickBot="1" x14ac:dyDescent="0.4">
      <c r="A1" s="70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</row>
    <row r="2" spans="1:19" s="13" customFormat="1" ht="15" thickBot="1" x14ac:dyDescent="0.4">
      <c r="A2" s="72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4"/>
      <c r="Q2" s="10" t="s">
        <v>17</v>
      </c>
      <c r="R2" s="11" t="s">
        <v>18</v>
      </c>
      <c r="S2" s="12"/>
    </row>
    <row r="3" spans="1:19" s="13" customFormat="1" ht="15" thickBot="1" x14ac:dyDescent="0.4">
      <c r="A3" s="75"/>
      <c r="B3" s="76"/>
      <c r="C3" s="76"/>
      <c r="D3" s="76"/>
      <c r="E3" s="76"/>
      <c r="F3" s="77"/>
      <c r="G3" s="78" t="s">
        <v>15</v>
      </c>
      <c r="H3" s="79"/>
      <c r="I3" s="80"/>
      <c r="J3" s="81"/>
      <c r="K3" s="81"/>
      <c r="L3" s="81"/>
      <c r="M3" s="82"/>
      <c r="N3" s="75"/>
      <c r="O3" s="76"/>
      <c r="P3" s="77"/>
      <c r="Q3" s="14" t="s">
        <v>19</v>
      </c>
      <c r="R3" s="15" t="s">
        <v>20</v>
      </c>
      <c r="S3" s="16"/>
    </row>
    <row r="4" spans="1:19" s="13" customFormat="1" ht="15" customHeight="1" thickBot="1" x14ac:dyDescent="0.4">
      <c r="A4" s="65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7"/>
      <c r="Q4" s="17" t="s">
        <v>22</v>
      </c>
      <c r="R4" s="18" t="s">
        <v>21</v>
      </c>
      <c r="S4" s="19"/>
    </row>
    <row r="5" spans="1:19" s="13" customFormat="1" ht="15" customHeight="1" thickBot="1" x14ac:dyDescent="0.4">
      <c r="A5" s="68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</row>
    <row r="6" spans="1:19" s="23" customFormat="1" ht="16" x14ac:dyDescent="0.4">
      <c r="A6" s="20" t="s">
        <v>1</v>
      </c>
      <c r="B6" s="20" t="s">
        <v>2</v>
      </c>
      <c r="C6" s="20" t="s">
        <v>3</v>
      </c>
      <c r="D6" s="20" t="s">
        <v>4</v>
      </c>
      <c r="E6" s="20" t="s">
        <v>5</v>
      </c>
      <c r="F6" s="20" t="s">
        <v>6</v>
      </c>
      <c r="G6" s="21" t="s">
        <v>16</v>
      </c>
      <c r="H6" s="20" t="s">
        <v>7</v>
      </c>
      <c r="I6" s="20" t="s">
        <v>8</v>
      </c>
      <c r="J6" s="20" t="s">
        <v>0</v>
      </c>
      <c r="K6" s="20" t="s">
        <v>27</v>
      </c>
      <c r="L6" s="20" t="s">
        <v>28</v>
      </c>
      <c r="M6" s="22" t="s">
        <v>9</v>
      </c>
      <c r="N6" s="22" t="s">
        <v>10</v>
      </c>
      <c r="O6" s="22" t="s">
        <v>14</v>
      </c>
      <c r="P6" s="22" t="s">
        <v>30</v>
      </c>
      <c r="Q6" s="22" t="s">
        <v>11</v>
      </c>
      <c r="R6" s="22" t="s">
        <v>12</v>
      </c>
      <c r="S6" s="22" t="s">
        <v>13</v>
      </c>
    </row>
    <row r="7" spans="1:19" x14ac:dyDescent="0.35">
      <c r="A7" s="24"/>
      <c r="B7" s="25"/>
      <c r="C7" s="26"/>
      <c r="D7" s="25"/>
      <c r="E7" s="27" t="s">
        <v>31</v>
      </c>
      <c r="F7" s="28" t="str">
        <f>_xlfn.IFNA(VLOOKUP(E7,Roster!B:C,2,FALSE),"")</f>
        <v/>
      </c>
      <c r="G7" s="26"/>
      <c r="H7" s="26"/>
      <c r="I7" s="26"/>
      <c r="J7" s="26"/>
      <c r="K7" s="28"/>
      <c r="L7" s="28"/>
      <c r="M7" s="29" t="s">
        <v>32</v>
      </c>
      <c r="N7" s="29" t="s">
        <v>33</v>
      </c>
      <c r="O7" s="29"/>
      <c r="P7" s="30"/>
      <c r="Q7" s="31" t="str">
        <f>_xlfn.IFNA(IF(VLOOKUP(E7,Roster!B:I,8,0)&gt;0,"Active"),"N")</f>
        <v>N</v>
      </c>
      <c r="R7" s="30" t="str">
        <f t="array" ref="R7">_xlfn.IFNA(INDEX('New Hire Hours'!$A:$I,MATCH(1,('New Hire Hours'!$A:$A=E7)*('New Hire Hours'!$B:$B=A7),0),4),"N")</f>
        <v>N</v>
      </c>
      <c r="S7" s="30" t="str">
        <f t="array" ref="S7">_xlfn.IFNA(INDEX('New Hire Hours'!$A:$I,MATCH(1,('New Hire Hours'!$A:$A=E7)*('New Hire Hours'!$B:$B=C7),0),4),"N")</f>
        <v>N</v>
      </c>
    </row>
  </sheetData>
  <mergeCells count="8">
    <mergeCell ref="A4:P4"/>
    <mergeCell ref="A5:S5"/>
    <mergeCell ref="A1:S1"/>
    <mergeCell ref="A2:P2"/>
    <mergeCell ref="A3:F3"/>
    <mergeCell ref="G3:H3"/>
    <mergeCell ref="I3:M3"/>
    <mergeCell ref="N3:P3"/>
  </mergeCells>
  <conditionalFormatting sqref="E7:E1000">
    <cfRule type="duplicateValues" dxfId="36" priority="9"/>
  </conditionalFormatting>
  <conditionalFormatting sqref="Q7:Q1000">
    <cfRule type="cellIs" dxfId="35" priority="8" stopIfTrue="1" operator="equal">
      <formula>"Active"</formula>
    </cfRule>
  </conditionalFormatting>
  <conditionalFormatting sqref="R7:R1000">
    <cfRule type="cellIs" dxfId="34" priority="6" stopIfTrue="1" operator="greaterThanOrEqual">
      <formula>3.5</formula>
    </cfRule>
    <cfRule type="cellIs" dxfId="33" priority="7" stopIfTrue="1" operator="between">
      <formula>0.1</formula>
      <formula>3.5</formula>
    </cfRule>
  </conditionalFormatting>
  <conditionalFormatting sqref="S7:S1000">
    <cfRule type="cellIs" dxfId="32" priority="4" operator="between">
      <formula>0.5</formula>
      <formula>9.5</formula>
    </cfRule>
    <cfRule type="cellIs" dxfId="31" priority="5" stopIfTrue="1" operator="greaterThanOrEqual">
      <formula>9.5</formula>
    </cfRule>
  </conditionalFormatting>
  <conditionalFormatting sqref="M7:N1000">
    <cfRule type="cellIs" dxfId="30" priority="2" operator="equal">
      <formula>"Y"</formula>
    </cfRule>
    <cfRule type="cellIs" dxfId="29" priority="3" operator="equal">
      <formula>"F"</formula>
    </cfRule>
  </conditionalFormatting>
  <conditionalFormatting sqref="M7:S1000">
    <cfRule type="cellIs" dxfId="28" priority="1" operator="equal">
      <formula>"N"</formula>
    </cfRule>
  </conditionalFormatting>
  <dataValidations count="3">
    <dataValidation type="list" allowBlank="1" showInputMessage="1" showErrorMessage="1" sqref="N7" xr:uid="{FC0AE076-F0D4-4216-A880-877464A8F2FB}">
      <formula1>"Y,N,F"</formula1>
    </dataValidation>
    <dataValidation type="list" allowBlank="1" showInputMessage="1" showErrorMessage="1" sqref="M7" xr:uid="{2F0BBCDA-8F0C-4663-9C52-6D0D3B1FE61B}">
      <formula1>"Y,N"</formula1>
    </dataValidation>
    <dataValidation type="list" allowBlank="1" showInputMessage="1" showErrorMessage="1" sqref="O7" xr:uid="{CA0D7A33-6343-4E48-9A09-AD3C72A19F69}">
      <formula1>"Unable to contact,Illness,Failed H&amp;S test,Personal circumstances,Shift not suitable,Attended too late,Travel issues,Took another role,Staying in previous job,Other"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3E204-A621-4516-9D50-826EF15A020D}">
  <sheetPr codeName="Sheet6"/>
  <dimension ref="A1:S104"/>
  <sheetViews>
    <sheetView zoomScale="80" zoomScaleNormal="80" workbookViewId="0">
      <selection activeCell="H9" sqref="H9"/>
    </sheetView>
  </sheetViews>
  <sheetFormatPr defaultColWidth="17.54296875" defaultRowHeight="12" x14ac:dyDescent="0.35"/>
  <cols>
    <col min="1" max="1" width="17.54296875" style="55"/>
    <col min="2" max="2" width="18" style="56" customWidth="1"/>
    <col min="3" max="3" width="17.54296875" style="55"/>
    <col min="4" max="4" width="17.54296875" style="54"/>
    <col min="5" max="5" width="22.453125" style="57" customWidth="1"/>
    <col min="6" max="6" width="21.81640625" style="54" customWidth="1"/>
    <col min="7" max="7" width="22.453125" style="54" customWidth="1"/>
    <col min="8" max="8" width="34.1796875" style="54" customWidth="1"/>
    <col min="9" max="9" width="17.54296875" style="54"/>
    <col min="10" max="10" width="17.54296875" style="58"/>
    <col min="11" max="12" width="17.54296875" style="54"/>
    <col min="13" max="13" width="10.54296875" style="54" bestFit="1" customWidth="1"/>
    <col min="14" max="15" width="19.1796875" style="54" bestFit="1" customWidth="1"/>
    <col min="16" max="16" width="27.1796875" style="54" bestFit="1" customWidth="1"/>
    <col min="17" max="17" width="17.54296875" style="54"/>
    <col min="18" max="18" width="21.26953125" style="54" bestFit="1" customWidth="1"/>
    <col min="19" max="19" width="21.453125" style="54" bestFit="1" customWidth="1"/>
    <col min="20" max="16384" width="17.54296875" style="54"/>
  </cols>
  <sheetData>
    <row r="1" spans="1:19" s="38" customFormat="1" ht="15.75" customHeight="1" x14ac:dyDescent="0.35">
      <c r="A1" s="36"/>
      <c r="B1" s="83" t="s">
        <v>26</v>
      </c>
      <c r="C1" s="37"/>
      <c r="D1" s="85" t="s">
        <v>26</v>
      </c>
      <c r="E1" s="93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5"/>
    </row>
    <row r="2" spans="1:19" s="38" customFormat="1" ht="16" x14ac:dyDescent="0.35">
      <c r="A2" s="39"/>
      <c r="B2" s="84"/>
      <c r="C2" s="40"/>
      <c r="D2" s="86"/>
      <c r="E2" s="90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2"/>
    </row>
    <row r="3" spans="1:19" s="38" customFormat="1" ht="16.5" thickBot="1" x14ac:dyDescent="0.4">
      <c r="A3" s="36"/>
      <c r="B3" s="84"/>
      <c r="C3" s="37"/>
      <c r="D3" s="86"/>
      <c r="E3" s="87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9"/>
    </row>
    <row r="4" spans="1:19" s="38" customFormat="1" ht="26.15" customHeight="1" thickBot="1" x14ac:dyDescent="0.4">
      <c r="A4" s="41" t="s">
        <v>1</v>
      </c>
      <c r="B4" s="42" t="s">
        <v>2</v>
      </c>
      <c r="C4" s="43" t="s">
        <v>3</v>
      </c>
      <c r="D4" s="63" t="s">
        <v>4</v>
      </c>
      <c r="E4" s="64" t="s">
        <v>5</v>
      </c>
      <c r="F4" s="44" t="s">
        <v>16</v>
      </c>
      <c r="G4" s="44" t="s">
        <v>7</v>
      </c>
      <c r="H4" s="44" t="s">
        <v>8</v>
      </c>
      <c r="I4" s="44" t="s">
        <v>0</v>
      </c>
      <c r="J4" s="45" t="s">
        <v>27</v>
      </c>
      <c r="K4" s="44" t="s">
        <v>28</v>
      </c>
      <c r="L4" s="44" t="s">
        <v>25</v>
      </c>
      <c r="M4" s="44" t="s">
        <v>24</v>
      </c>
      <c r="N4" s="44" t="s">
        <v>9</v>
      </c>
      <c r="O4" s="44" t="s">
        <v>10</v>
      </c>
      <c r="P4" s="44" t="s">
        <v>23</v>
      </c>
      <c r="Q4" s="46" t="s">
        <v>29</v>
      </c>
      <c r="R4" s="46" t="s">
        <v>46</v>
      </c>
      <c r="S4" s="46" t="s">
        <v>47</v>
      </c>
    </row>
    <row r="5" spans="1:19" s="38" customFormat="1" ht="14.5" x14ac:dyDescent="0.35">
      <c r="A5" s="47" t="str">
        <f>IF('Salesforce Dump'!A2&lt;&gt;"",'Salesforce Dump'!A2,"")</f>
        <v/>
      </c>
      <c r="B5" s="48"/>
      <c r="C5" s="49" t="str">
        <f>IF('Salesforce Dump'!B2&lt;&gt;"",'Salesforce Dump'!B2,"")</f>
        <v/>
      </c>
      <c r="D5" s="48"/>
      <c r="E5" s="50" t="str">
        <f>IF('Salesforce Dump'!C2&lt;&gt;"",'Salesforce Dump'!C2,"")</f>
        <v/>
      </c>
      <c r="F5" s="49" t="str">
        <f>IF('Salesforce Dump'!D2&lt;&gt;"",'Salesforce Dump'!D2,"")</f>
        <v/>
      </c>
      <c r="G5" s="49" t="str">
        <f>IF('Salesforce Dump'!E2&lt;&gt;"",'Salesforce Dump'!E2,"")</f>
        <v/>
      </c>
      <c r="H5" s="49" t="str">
        <f>IF('Salesforce Dump'!G2&lt;&gt;"",'Salesforce Dump'!G2,"")</f>
        <v/>
      </c>
      <c r="I5" s="49" t="str">
        <f>IF('Salesforce Dump'!H2&lt;&gt;"",'Salesforce Dump'!H2,"")</f>
        <v/>
      </c>
      <c r="J5" s="51" t="str">
        <f>IF('Salesforce Dump'!I2&lt;&gt;"",'Salesforce Dump'!I2,"")</f>
        <v/>
      </c>
      <c r="K5" s="51" t="str">
        <f>IF('Salesforce Dump'!J2&lt;&gt;"",'Salesforce Dump'!J2,"")</f>
        <v/>
      </c>
      <c r="L5" s="52" t="str">
        <f>IFERROR(INDEX('OBA Dump'!C:C,MATCH($E5*1,'OBA Dump'!$A:$A,0)),"")</f>
        <v/>
      </c>
      <c r="M5" s="52" t="str">
        <f>IFERROR(INDEX('OBA Dump'!D:D,MATCH($E5*1,'OBA Dump'!$A:$A,0)),"")</f>
        <v/>
      </c>
      <c r="N5" s="52"/>
      <c r="O5" s="52"/>
      <c r="P5" s="53"/>
      <c r="Q5" s="52"/>
      <c r="R5" s="38" t="str">
        <f>_xlfn.IFNA(VLOOKUP(E5,'Pre-Booked Holidays'!A:B,2,0),"")</f>
        <v/>
      </c>
      <c r="S5" s="38" t="str">
        <f>IF(E5="","",IF(IFERROR(VLOOKUP(E5,'Onbase Report'!D:E,2,0),"")&lt;&gt;"","Details in Onbase","No Details"))</f>
        <v/>
      </c>
    </row>
    <row r="6" spans="1:19" s="38" customFormat="1" ht="14.5" x14ac:dyDescent="0.35">
      <c r="A6" s="47" t="str">
        <f>IF('Salesforce Dump'!A3&lt;&gt;"",'Salesforce Dump'!A3,"")</f>
        <v/>
      </c>
      <c r="B6" s="48"/>
      <c r="C6" s="49" t="str">
        <f>IF('Salesforce Dump'!B3&lt;&gt;"",'Salesforce Dump'!B3,"")</f>
        <v/>
      </c>
      <c r="D6" s="48"/>
      <c r="E6" s="50" t="str">
        <f>IF('Salesforce Dump'!C3&lt;&gt;"",'Salesforce Dump'!C3,"")</f>
        <v/>
      </c>
      <c r="F6" s="49" t="str">
        <f>IF('Salesforce Dump'!D3&lt;&gt;"",'Salesforce Dump'!D3,"")</f>
        <v/>
      </c>
      <c r="G6" s="49" t="str">
        <f>IF('Salesforce Dump'!E3&lt;&gt;"",'Salesforce Dump'!E3,"")</f>
        <v/>
      </c>
      <c r="H6" s="49" t="str">
        <f>IF('Salesforce Dump'!G3&lt;&gt;"",'Salesforce Dump'!G3,"")</f>
        <v/>
      </c>
      <c r="I6" s="49" t="str">
        <f>IF('Salesforce Dump'!H3&lt;&gt;"",'Salesforce Dump'!H3,"")</f>
        <v/>
      </c>
      <c r="J6" s="51" t="str">
        <f>IF('Salesforce Dump'!I3&lt;&gt;"",'Salesforce Dump'!I3,"")</f>
        <v/>
      </c>
      <c r="K6" s="51" t="str">
        <f>IF('Salesforce Dump'!J3&lt;&gt;"",'Salesforce Dump'!J3,"")</f>
        <v/>
      </c>
      <c r="L6" s="52" t="str">
        <f>IFERROR(INDEX('OBA Dump'!C:C,MATCH($E6*1,'OBA Dump'!$A:$A,0)),"")</f>
        <v/>
      </c>
      <c r="M6" s="52" t="str">
        <f>IFERROR(INDEX('OBA Dump'!D:D,MATCH($E6*1,'OBA Dump'!$A:$A,0)),"")</f>
        <v/>
      </c>
      <c r="N6" s="52"/>
      <c r="O6" s="52"/>
      <c r="P6" s="53"/>
      <c r="Q6" s="52"/>
      <c r="R6" s="38" t="str">
        <f>_xlfn.IFNA(VLOOKUP(E6,'Pre-Booked Holidays'!A:B,2,0),"")</f>
        <v/>
      </c>
      <c r="S6" s="38" t="str">
        <f>IF(E6="","",IF(IFERROR(VLOOKUP(E6,'Onbase Report'!D:E,2,0),"")&lt;&gt;"","Details in Onbase","No Details"))</f>
        <v/>
      </c>
    </row>
    <row r="7" spans="1:19" s="38" customFormat="1" ht="14.5" x14ac:dyDescent="0.35">
      <c r="A7" s="47" t="str">
        <f>IF('Salesforce Dump'!A4&lt;&gt;"",'Salesforce Dump'!A4,"")</f>
        <v/>
      </c>
      <c r="B7" s="48"/>
      <c r="C7" s="49" t="str">
        <f>IF('Salesforce Dump'!B4&lt;&gt;"",'Salesforce Dump'!B4,"")</f>
        <v/>
      </c>
      <c r="D7" s="48"/>
      <c r="E7" s="50" t="str">
        <f>IF('Salesforce Dump'!C4&lt;&gt;"",'Salesforce Dump'!C4,"")</f>
        <v/>
      </c>
      <c r="F7" s="49" t="str">
        <f>IF('Salesforce Dump'!D4&lt;&gt;"",'Salesforce Dump'!D4,"")</f>
        <v/>
      </c>
      <c r="G7" s="49" t="str">
        <f>IF('Salesforce Dump'!E4&lt;&gt;"",'Salesforce Dump'!E4,"")</f>
        <v/>
      </c>
      <c r="H7" s="49" t="str">
        <f>IF('Salesforce Dump'!G4&lt;&gt;"",'Salesforce Dump'!G4,"")</f>
        <v/>
      </c>
      <c r="I7" s="49" t="str">
        <f>IF('Salesforce Dump'!H4&lt;&gt;"",'Salesforce Dump'!H4,"")</f>
        <v/>
      </c>
      <c r="J7" s="51" t="str">
        <f>IF('Salesforce Dump'!I4&lt;&gt;"",'Salesforce Dump'!I4,"")</f>
        <v/>
      </c>
      <c r="K7" s="51" t="str">
        <f>IF('Salesforce Dump'!J4&lt;&gt;"",'Salesforce Dump'!J4,"")</f>
        <v/>
      </c>
      <c r="L7" s="52" t="str">
        <f>IFERROR(INDEX('OBA Dump'!C:C,MATCH($E7*1,'OBA Dump'!$A:$A,0)),"")</f>
        <v/>
      </c>
      <c r="M7" s="52" t="str">
        <f>IFERROR(INDEX('OBA Dump'!D:D,MATCH($E7*1,'OBA Dump'!$A:$A,0)),"")</f>
        <v/>
      </c>
      <c r="N7" s="52"/>
      <c r="O7" s="52"/>
      <c r="P7" s="53"/>
      <c r="Q7" s="52"/>
      <c r="R7" s="38" t="str">
        <f>_xlfn.IFNA(VLOOKUP(E7,'Pre-Booked Holidays'!A:B,2,0),"")</f>
        <v/>
      </c>
      <c r="S7" s="38" t="str">
        <f>IF(E7="","",IF(IFERROR(VLOOKUP(E7,'Onbase Report'!D:E,2,0),"")&lt;&gt;"","Details in Onbase","No Details"))</f>
        <v/>
      </c>
    </row>
    <row r="8" spans="1:19" s="38" customFormat="1" ht="14.5" x14ac:dyDescent="0.35">
      <c r="A8" s="47" t="str">
        <f>IF('Salesforce Dump'!A5&lt;&gt;"",'Salesforce Dump'!A5,"")</f>
        <v/>
      </c>
      <c r="B8" s="48"/>
      <c r="C8" s="49" t="str">
        <f>IF('Salesforce Dump'!B5&lt;&gt;"",'Salesforce Dump'!B5,"")</f>
        <v/>
      </c>
      <c r="D8" s="48"/>
      <c r="E8" s="50" t="str">
        <f>IF('Salesforce Dump'!C5&lt;&gt;"",'Salesforce Dump'!C5,"")</f>
        <v/>
      </c>
      <c r="F8" s="49" t="str">
        <f>IF('Salesforce Dump'!D5&lt;&gt;"",'Salesforce Dump'!D5,"")</f>
        <v/>
      </c>
      <c r="G8" s="49" t="str">
        <f>IF('Salesforce Dump'!E5&lt;&gt;"",'Salesforce Dump'!E5,"")</f>
        <v/>
      </c>
      <c r="H8" s="49" t="str">
        <f>IF('Salesforce Dump'!G5&lt;&gt;"",'Salesforce Dump'!G5,"")</f>
        <v/>
      </c>
      <c r="I8" s="49" t="str">
        <f>IF('Salesforce Dump'!H5&lt;&gt;"",'Salesforce Dump'!H5,"")</f>
        <v/>
      </c>
      <c r="J8" s="51" t="str">
        <f>IF('Salesforce Dump'!I5&lt;&gt;"",'Salesforce Dump'!I5,"")</f>
        <v/>
      </c>
      <c r="K8" s="51" t="str">
        <f>IF('Salesforce Dump'!J5&lt;&gt;"",'Salesforce Dump'!J5,"")</f>
        <v/>
      </c>
      <c r="L8" s="52" t="str">
        <f>IFERROR(INDEX('OBA Dump'!C:C,MATCH($E8*1,'OBA Dump'!$A:$A,0)),"")</f>
        <v/>
      </c>
      <c r="M8" s="52" t="str">
        <f>IFERROR(INDEX('OBA Dump'!D:D,MATCH($E8*1,'OBA Dump'!$A:$A,0)),"")</f>
        <v/>
      </c>
      <c r="N8" s="52"/>
      <c r="O8" s="52"/>
      <c r="P8" s="53"/>
      <c r="Q8" s="52"/>
      <c r="R8" s="38" t="str">
        <f>_xlfn.IFNA(VLOOKUP(E8,'Pre-Booked Holidays'!A:B,2,0),"")</f>
        <v/>
      </c>
      <c r="S8" s="38" t="str">
        <f>IF(E8="","",IF(IFERROR(VLOOKUP(E8,'Onbase Report'!D:E,2,0),"")&lt;&gt;"","Details in Onbase","No Details"))</f>
        <v/>
      </c>
    </row>
    <row r="9" spans="1:19" s="38" customFormat="1" ht="14.5" x14ac:dyDescent="0.35">
      <c r="A9" s="47" t="str">
        <f>IF('Salesforce Dump'!A6&lt;&gt;"",'Salesforce Dump'!A6,"")</f>
        <v/>
      </c>
      <c r="B9" s="48"/>
      <c r="C9" s="49" t="str">
        <f>IF('Salesforce Dump'!B6&lt;&gt;"",'Salesforce Dump'!B6,"")</f>
        <v/>
      </c>
      <c r="D9" s="48"/>
      <c r="E9" s="50" t="str">
        <f>IF('Salesforce Dump'!C6&lt;&gt;"",'Salesforce Dump'!C6,"")</f>
        <v/>
      </c>
      <c r="F9" s="49" t="str">
        <f>IF('Salesforce Dump'!D6&lt;&gt;"",'Salesforce Dump'!D6,"")</f>
        <v/>
      </c>
      <c r="G9" s="49" t="str">
        <f>IF('Salesforce Dump'!E6&lt;&gt;"",'Salesforce Dump'!E6,"")</f>
        <v/>
      </c>
      <c r="H9" s="49" t="str">
        <f>IF('Salesforce Dump'!G6&lt;&gt;"",'Salesforce Dump'!G6,"")</f>
        <v/>
      </c>
      <c r="I9" s="49" t="str">
        <f>IF('Salesforce Dump'!H6&lt;&gt;"",'Salesforce Dump'!H6,"")</f>
        <v/>
      </c>
      <c r="J9" s="51" t="str">
        <f>IF('Salesforce Dump'!I6&lt;&gt;"",'Salesforce Dump'!I6,"")</f>
        <v/>
      </c>
      <c r="K9" s="51" t="str">
        <f>IF('Salesforce Dump'!J6&lt;&gt;"",'Salesforce Dump'!J6,"")</f>
        <v/>
      </c>
      <c r="L9" s="52" t="str">
        <f>IFERROR(INDEX('OBA Dump'!C:C,MATCH($E9*1,'OBA Dump'!$A:$A,0)),"")</f>
        <v/>
      </c>
      <c r="M9" s="52" t="str">
        <f>IFERROR(INDEX('OBA Dump'!D:D,MATCH($E9*1,'OBA Dump'!$A:$A,0)),"")</f>
        <v/>
      </c>
      <c r="N9" s="52"/>
      <c r="O9" s="52"/>
      <c r="P9" s="53"/>
      <c r="Q9" s="52"/>
      <c r="R9" s="38" t="str">
        <f>_xlfn.IFNA(VLOOKUP(E9,'Pre-Booked Holidays'!A:B,2,0),"")</f>
        <v/>
      </c>
      <c r="S9" s="38" t="str">
        <f>IF(E9="","",IF(IFERROR(VLOOKUP(E9,'Onbase Report'!D:E,2,0),"")&lt;&gt;"","Details in Onbase","No Details"))</f>
        <v/>
      </c>
    </row>
    <row r="10" spans="1:19" s="38" customFormat="1" ht="14.5" x14ac:dyDescent="0.35">
      <c r="A10" s="47" t="str">
        <f>IF('Salesforce Dump'!A7&lt;&gt;"",'Salesforce Dump'!A7,"")</f>
        <v/>
      </c>
      <c r="B10" s="48"/>
      <c r="C10" s="49" t="str">
        <f>IF('Salesforce Dump'!B7&lt;&gt;"",'Salesforce Dump'!B7,"")</f>
        <v/>
      </c>
      <c r="D10" s="48"/>
      <c r="E10" s="50" t="str">
        <f>IF('Salesforce Dump'!C7&lt;&gt;"",'Salesforce Dump'!C7,"")</f>
        <v/>
      </c>
      <c r="F10" s="49" t="str">
        <f>IF('Salesforce Dump'!D7&lt;&gt;"",'Salesforce Dump'!D7,"")</f>
        <v/>
      </c>
      <c r="G10" s="49" t="str">
        <f>IF('Salesforce Dump'!E7&lt;&gt;"",'Salesforce Dump'!E7,"")</f>
        <v/>
      </c>
      <c r="H10" s="49" t="str">
        <f>IF('Salesforce Dump'!G7&lt;&gt;"",'Salesforce Dump'!G7,"")</f>
        <v/>
      </c>
      <c r="I10" s="49" t="str">
        <f>IF('Salesforce Dump'!H7&lt;&gt;"",'Salesforce Dump'!H7,"")</f>
        <v/>
      </c>
      <c r="J10" s="51" t="str">
        <f>IF('Salesforce Dump'!I7&lt;&gt;"",'Salesforce Dump'!I7,"")</f>
        <v/>
      </c>
      <c r="K10" s="51" t="str">
        <f>IF('Salesforce Dump'!J7&lt;&gt;"",'Salesforce Dump'!J7,"")</f>
        <v/>
      </c>
      <c r="L10" s="52" t="str">
        <f>IFERROR(INDEX('OBA Dump'!C:C,MATCH($E10*1,'OBA Dump'!$A:$A,0)),"")</f>
        <v/>
      </c>
      <c r="M10" s="52" t="str">
        <f>IFERROR(INDEX('OBA Dump'!D:D,MATCH($E10*1,'OBA Dump'!$A:$A,0)),"")</f>
        <v/>
      </c>
      <c r="N10" s="52"/>
      <c r="O10" s="52"/>
      <c r="P10" s="53"/>
      <c r="Q10" s="52"/>
      <c r="R10" s="38" t="str">
        <f>_xlfn.IFNA(VLOOKUP(E10,'Pre-Booked Holidays'!A:B,2,0),"")</f>
        <v/>
      </c>
      <c r="S10" s="38" t="str">
        <f>IF(E10="","",IF(IFERROR(VLOOKUP(E10,'Onbase Report'!D:E,2,0),"")&lt;&gt;"","Details in Onbase","No Details"))</f>
        <v/>
      </c>
    </row>
    <row r="11" spans="1:19" s="38" customFormat="1" ht="14.5" x14ac:dyDescent="0.35">
      <c r="A11" s="47" t="str">
        <f>IF('Salesforce Dump'!A8&lt;&gt;"",'Salesforce Dump'!A8,"")</f>
        <v/>
      </c>
      <c r="B11" s="48"/>
      <c r="C11" s="49" t="str">
        <f>IF('Salesforce Dump'!B8&lt;&gt;"",'Salesforce Dump'!B8,"")</f>
        <v/>
      </c>
      <c r="D11" s="48"/>
      <c r="E11" s="50" t="str">
        <f>IF('Salesforce Dump'!C8&lt;&gt;"",'Salesforce Dump'!C8,"")</f>
        <v/>
      </c>
      <c r="F11" s="49" t="str">
        <f>IF('Salesforce Dump'!D8&lt;&gt;"",'Salesforce Dump'!D8,"")</f>
        <v/>
      </c>
      <c r="G11" s="49" t="str">
        <f>IF('Salesforce Dump'!E8&lt;&gt;"",'Salesforce Dump'!E8,"")</f>
        <v/>
      </c>
      <c r="H11" s="49" t="str">
        <f>IF('Salesforce Dump'!G8&lt;&gt;"",'Salesforce Dump'!G8,"")</f>
        <v/>
      </c>
      <c r="I11" s="49" t="str">
        <f>IF('Salesforce Dump'!H8&lt;&gt;"",'Salesforce Dump'!H8,"")</f>
        <v/>
      </c>
      <c r="J11" s="51" t="str">
        <f>IF('Salesforce Dump'!I8&lt;&gt;"",'Salesforce Dump'!I8,"")</f>
        <v/>
      </c>
      <c r="K11" s="51" t="str">
        <f>IF('Salesforce Dump'!J8&lt;&gt;"",'Salesforce Dump'!J8,"")</f>
        <v/>
      </c>
      <c r="L11" s="52" t="str">
        <f>IFERROR(INDEX('OBA Dump'!C:C,MATCH($E11*1,'OBA Dump'!$A:$A,0)),"")</f>
        <v/>
      </c>
      <c r="M11" s="52" t="str">
        <f>IFERROR(INDEX('OBA Dump'!D:D,MATCH($E11*1,'OBA Dump'!$A:$A,0)),"")</f>
        <v/>
      </c>
      <c r="N11" s="52"/>
      <c r="O11" s="52"/>
      <c r="P11" s="53"/>
      <c r="Q11" s="52"/>
      <c r="R11" s="38" t="str">
        <f>_xlfn.IFNA(VLOOKUP(E11,'Pre-Booked Holidays'!A:B,2,0),"")</f>
        <v/>
      </c>
      <c r="S11" s="38" t="str">
        <f>IF(E11="","",IF(IFERROR(VLOOKUP(E11,'Onbase Report'!D:E,2,0),"")&lt;&gt;"","Details in Onbase","No Details"))</f>
        <v/>
      </c>
    </row>
    <row r="12" spans="1:19" s="38" customFormat="1" ht="14.5" x14ac:dyDescent="0.35">
      <c r="A12" s="47" t="str">
        <f>IF('Salesforce Dump'!A9&lt;&gt;"",'Salesforce Dump'!A9,"")</f>
        <v/>
      </c>
      <c r="B12" s="48"/>
      <c r="C12" s="49" t="str">
        <f>IF('Salesforce Dump'!B9&lt;&gt;"",'Salesforce Dump'!B9,"")</f>
        <v/>
      </c>
      <c r="D12" s="48"/>
      <c r="E12" s="50" t="str">
        <f>IF('Salesforce Dump'!C9&lt;&gt;"",'Salesforce Dump'!C9,"")</f>
        <v/>
      </c>
      <c r="F12" s="49" t="str">
        <f>IF('Salesforce Dump'!D9&lt;&gt;"",'Salesforce Dump'!D9,"")</f>
        <v/>
      </c>
      <c r="G12" s="49" t="str">
        <f>IF('Salesforce Dump'!E9&lt;&gt;"",'Salesforce Dump'!E9,"")</f>
        <v/>
      </c>
      <c r="H12" s="49" t="str">
        <f>IF('Salesforce Dump'!G9&lt;&gt;"",'Salesforce Dump'!G9,"")</f>
        <v/>
      </c>
      <c r="I12" s="49" t="str">
        <f>IF('Salesforce Dump'!H9&lt;&gt;"",'Salesforce Dump'!H9,"")</f>
        <v/>
      </c>
      <c r="J12" s="51" t="str">
        <f>IF('Salesforce Dump'!I9&lt;&gt;"",'Salesforce Dump'!I9,"")</f>
        <v/>
      </c>
      <c r="K12" s="51" t="str">
        <f>IF('Salesforce Dump'!J9&lt;&gt;"",'Salesforce Dump'!J9,"")</f>
        <v/>
      </c>
      <c r="L12" s="52" t="str">
        <f>IFERROR(INDEX('OBA Dump'!C:C,MATCH($E12*1,'OBA Dump'!$A:$A,0)),"")</f>
        <v/>
      </c>
      <c r="M12" s="52" t="str">
        <f>IFERROR(INDEX('OBA Dump'!D:D,MATCH($E12*1,'OBA Dump'!$A:$A,0)),"")</f>
        <v/>
      </c>
      <c r="N12" s="52"/>
      <c r="O12" s="52"/>
      <c r="P12" s="53"/>
      <c r="Q12" s="52"/>
      <c r="R12" s="38" t="str">
        <f>_xlfn.IFNA(VLOOKUP(E12,'Pre-Booked Holidays'!A:B,2,0),"")</f>
        <v/>
      </c>
      <c r="S12" s="38" t="str">
        <f>IF(E12="","",IF(IFERROR(VLOOKUP(E12,'Onbase Report'!D:E,2,0),"")&lt;&gt;"","Details in Onbase","No Details"))</f>
        <v/>
      </c>
    </row>
    <row r="13" spans="1:19" s="38" customFormat="1" ht="14.5" x14ac:dyDescent="0.35">
      <c r="A13" s="47" t="str">
        <f>IF('Salesforce Dump'!A10&lt;&gt;"",'Salesforce Dump'!A10,"")</f>
        <v/>
      </c>
      <c r="B13" s="48"/>
      <c r="C13" s="49" t="str">
        <f>IF('Salesforce Dump'!B10&lt;&gt;"",'Salesforce Dump'!B10,"")</f>
        <v/>
      </c>
      <c r="D13" s="48"/>
      <c r="E13" s="50" t="str">
        <f>IF('Salesforce Dump'!C10&lt;&gt;"",'Salesforce Dump'!C10,"")</f>
        <v/>
      </c>
      <c r="F13" s="49" t="str">
        <f>IF('Salesforce Dump'!D10&lt;&gt;"",'Salesforce Dump'!D10,"")</f>
        <v/>
      </c>
      <c r="G13" s="49" t="str">
        <f>IF('Salesforce Dump'!E10&lt;&gt;"",'Salesforce Dump'!E10,"")</f>
        <v/>
      </c>
      <c r="H13" s="49" t="str">
        <f>IF('Salesforce Dump'!G10&lt;&gt;"",'Salesforce Dump'!G10,"")</f>
        <v/>
      </c>
      <c r="I13" s="49" t="str">
        <f>IF('Salesforce Dump'!H10&lt;&gt;"",'Salesforce Dump'!H10,"")</f>
        <v/>
      </c>
      <c r="J13" s="51" t="str">
        <f>IF('Salesforce Dump'!I10&lt;&gt;"",'Salesforce Dump'!I10,"")</f>
        <v/>
      </c>
      <c r="K13" s="51" t="str">
        <f>IF('Salesforce Dump'!J10&lt;&gt;"",'Salesforce Dump'!J10,"")</f>
        <v/>
      </c>
      <c r="L13" s="52" t="str">
        <f>IFERROR(INDEX('OBA Dump'!C:C,MATCH($E13*1,'OBA Dump'!$A:$A,0)),"")</f>
        <v/>
      </c>
      <c r="M13" s="52" t="str">
        <f>IFERROR(INDEX('OBA Dump'!D:D,MATCH($E13*1,'OBA Dump'!$A:$A,0)),"")</f>
        <v/>
      </c>
      <c r="N13" s="52"/>
      <c r="O13" s="52"/>
      <c r="P13" s="53"/>
      <c r="Q13" s="52"/>
      <c r="R13" s="38" t="str">
        <f>_xlfn.IFNA(VLOOKUP(E13,'Pre-Booked Holidays'!A:B,2,0),"")</f>
        <v/>
      </c>
      <c r="S13" s="38" t="str">
        <f>IF(E13="","",IF(IFERROR(VLOOKUP(E13,'Onbase Report'!D:E,2,0),"")&lt;&gt;"","Details in Onbase","No Details"))</f>
        <v/>
      </c>
    </row>
    <row r="14" spans="1:19" s="38" customFormat="1" ht="14.5" x14ac:dyDescent="0.35">
      <c r="A14" s="47" t="str">
        <f>IF('Salesforce Dump'!A11&lt;&gt;"",'Salesforce Dump'!A11,"")</f>
        <v/>
      </c>
      <c r="B14" s="48"/>
      <c r="C14" s="49" t="str">
        <f>IF('Salesforce Dump'!B11&lt;&gt;"",'Salesforce Dump'!B11,"")</f>
        <v/>
      </c>
      <c r="D14" s="48"/>
      <c r="E14" s="50" t="str">
        <f>IF('Salesforce Dump'!C11&lt;&gt;"",'Salesforce Dump'!C11,"")</f>
        <v/>
      </c>
      <c r="F14" s="49" t="str">
        <f>IF('Salesforce Dump'!D11&lt;&gt;"",'Salesforce Dump'!D11,"")</f>
        <v/>
      </c>
      <c r="G14" s="49" t="str">
        <f>IF('Salesforce Dump'!E11&lt;&gt;"",'Salesforce Dump'!E11,"")</f>
        <v/>
      </c>
      <c r="H14" s="49" t="str">
        <f>IF('Salesforce Dump'!G11&lt;&gt;"",'Salesforce Dump'!G11,"")</f>
        <v/>
      </c>
      <c r="I14" s="49" t="str">
        <f>IF('Salesforce Dump'!H11&lt;&gt;"",'Salesforce Dump'!H11,"")</f>
        <v/>
      </c>
      <c r="J14" s="51" t="str">
        <f>IF('Salesforce Dump'!I11&lt;&gt;"",'Salesforce Dump'!I11,"")</f>
        <v/>
      </c>
      <c r="K14" s="51" t="str">
        <f>IF('Salesforce Dump'!J11&lt;&gt;"",'Salesforce Dump'!J11,"")</f>
        <v/>
      </c>
      <c r="L14" s="52" t="str">
        <f>IFERROR(INDEX('OBA Dump'!C:C,MATCH($E14*1,'OBA Dump'!$A:$A,0)),"")</f>
        <v/>
      </c>
      <c r="M14" s="52" t="str">
        <f>IFERROR(INDEX('OBA Dump'!D:D,MATCH($E14*1,'OBA Dump'!$A:$A,0)),"")</f>
        <v/>
      </c>
      <c r="N14" s="52"/>
      <c r="O14" s="52"/>
      <c r="P14" s="53"/>
      <c r="Q14" s="52"/>
      <c r="R14" s="38" t="str">
        <f>_xlfn.IFNA(VLOOKUP(E14,'Pre-Booked Holidays'!A:B,2,0),"")</f>
        <v/>
      </c>
      <c r="S14" s="38" t="str">
        <f>IF(E14="","",IF(IFERROR(VLOOKUP(E14,'Onbase Report'!D:E,2,0),"")&lt;&gt;"","Details in Onbase","No Details"))</f>
        <v/>
      </c>
    </row>
    <row r="15" spans="1:19" s="38" customFormat="1" ht="14.5" x14ac:dyDescent="0.35">
      <c r="A15" s="47" t="str">
        <f>IF('Salesforce Dump'!A12&lt;&gt;"",'Salesforce Dump'!A12,"")</f>
        <v/>
      </c>
      <c r="B15" s="48"/>
      <c r="C15" s="49" t="str">
        <f>IF('Salesforce Dump'!B12&lt;&gt;"",'Salesforce Dump'!B12,"")</f>
        <v/>
      </c>
      <c r="D15" s="48"/>
      <c r="E15" s="50" t="str">
        <f>IF('Salesforce Dump'!C12&lt;&gt;"",'Salesforce Dump'!C12,"")</f>
        <v/>
      </c>
      <c r="F15" s="49" t="str">
        <f>IF('Salesforce Dump'!D12&lt;&gt;"",'Salesforce Dump'!D12,"")</f>
        <v/>
      </c>
      <c r="G15" s="49" t="str">
        <f>IF('Salesforce Dump'!E12&lt;&gt;"",'Salesforce Dump'!E12,"")</f>
        <v/>
      </c>
      <c r="H15" s="49" t="str">
        <f>IF('Salesforce Dump'!G12&lt;&gt;"",'Salesforce Dump'!G12,"")</f>
        <v/>
      </c>
      <c r="I15" s="49" t="str">
        <f>IF('Salesforce Dump'!H12&lt;&gt;"",'Salesforce Dump'!H12,"")</f>
        <v/>
      </c>
      <c r="J15" s="51" t="str">
        <f>IF('Salesforce Dump'!I12&lt;&gt;"",'Salesforce Dump'!I12,"")</f>
        <v/>
      </c>
      <c r="K15" s="51" t="str">
        <f>IF('Salesforce Dump'!J12&lt;&gt;"",'Salesforce Dump'!J12,"")</f>
        <v/>
      </c>
      <c r="L15" s="52" t="str">
        <f>IFERROR(INDEX('OBA Dump'!C:C,MATCH($E15*1,'OBA Dump'!$A:$A,0)),"")</f>
        <v/>
      </c>
      <c r="M15" s="52" t="str">
        <f>IFERROR(INDEX('OBA Dump'!D:D,MATCH($E15*1,'OBA Dump'!$A:$A,0)),"")</f>
        <v/>
      </c>
      <c r="N15" s="52"/>
      <c r="O15" s="52"/>
      <c r="P15" s="53"/>
      <c r="Q15" s="52"/>
      <c r="R15" s="38" t="str">
        <f>_xlfn.IFNA(VLOOKUP(E15,'Pre-Booked Holidays'!A:B,2,0),"")</f>
        <v/>
      </c>
      <c r="S15" s="38" t="str">
        <f>IF(E15="","",IF(IFERROR(VLOOKUP(E15,'Onbase Report'!D:E,2,0),"")&lt;&gt;"","Details in Onbase","No Details"))</f>
        <v/>
      </c>
    </row>
    <row r="16" spans="1:19" s="38" customFormat="1" ht="14.5" x14ac:dyDescent="0.35">
      <c r="A16" s="47" t="str">
        <f>IF('Salesforce Dump'!A13&lt;&gt;"",'Salesforce Dump'!A13,"")</f>
        <v/>
      </c>
      <c r="B16" s="48"/>
      <c r="C16" s="49" t="str">
        <f>IF('Salesforce Dump'!B13&lt;&gt;"",'Salesforce Dump'!B13,"")</f>
        <v/>
      </c>
      <c r="D16" s="48"/>
      <c r="E16" s="50" t="str">
        <f>IF('Salesforce Dump'!C13&lt;&gt;"",'Salesforce Dump'!C13,"")</f>
        <v/>
      </c>
      <c r="F16" s="49" t="str">
        <f>IF('Salesforce Dump'!D13&lt;&gt;"",'Salesforce Dump'!D13,"")</f>
        <v/>
      </c>
      <c r="G16" s="49" t="str">
        <f>IF('Salesforce Dump'!E13&lt;&gt;"",'Salesforce Dump'!E13,"")</f>
        <v/>
      </c>
      <c r="H16" s="49" t="str">
        <f>IF('Salesforce Dump'!G13&lt;&gt;"",'Salesforce Dump'!G13,"")</f>
        <v/>
      </c>
      <c r="I16" s="49" t="str">
        <f>IF('Salesforce Dump'!H13&lt;&gt;"",'Salesforce Dump'!H13,"")</f>
        <v/>
      </c>
      <c r="J16" s="51" t="str">
        <f>IF('Salesforce Dump'!I13&lt;&gt;"",'Salesforce Dump'!I13,"")</f>
        <v/>
      </c>
      <c r="K16" s="51" t="str">
        <f>IF('Salesforce Dump'!J13&lt;&gt;"",'Salesforce Dump'!J13,"")</f>
        <v/>
      </c>
      <c r="L16" s="52" t="str">
        <f>IFERROR(INDEX('OBA Dump'!C:C,MATCH($E16*1,'OBA Dump'!$A:$A,0)),"")</f>
        <v/>
      </c>
      <c r="M16" s="52" t="str">
        <f>IFERROR(INDEX('OBA Dump'!D:D,MATCH($E16*1,'OBA Dump'!$A:$A,0)),"")</f>
        <v/>
      </c>
      <c r="N16" s="52"/>
      <c r="O16" s="52"/>
      <c r="P16" s="53"/>
      <c r="Q16" s="52"/>
      <c r="R16" s="38" t="str">
        <f>_xlfn.IFNA(VLOOKUP(E16,'Pre-Booked Holidays'!A:B,2,0),"")</f>
        <v/>
      </c>
      <c r="S16" s="38" t="str">
        <f>IF(E16="","",IF(IFERROR(VLOOKUP(E16,'Onbase Report'!D:E,2,0),"")&lt;&gt;"","Details in Onbase","No Details"))</f>
        <v/>
      </c>
    </row>
    <row r="17" spans="1:19" s="38" customFormat="1" ht="14.5" x14ac:dyDescent="0.35">
      <c r="A17" s="47" t="str">
        <f>IF('Salesforce Dump'!A14&lt;&gt;"",'Salesforce Dump'!A14,"")</f>
        <v/>
      </c>
      <c r="B17" s="48"/>
      <c r="C17" s="49" t="str">
        <f>IF('Salesforce Dump'!B14&lt;&gt;"",'Salesforce Dump'!B14,"")</f>
        <v/>
      </c>
      <c r="D17" s="48"/>
      <c r="E17" s="50" t="str">
        <f>IF('Salesforce Dump'!C14&lt;&gt;"",'Salesforce Dump'!C14,"")</f>
        <v/>
      </c>
      <c r="F17" s="49" t="str">
        <f>IF('Salesforce Dump'!D14&lt;&gt;"",'Salesforce Dump'!D14,"")</f>
        <v/>
      </c>
      <c r="G17" s="49" t="str">
        <f>IF('Salesforce Dump'!E14&lt;&gt;"",'Salesforce Dump'!E14,"")</f>
        <v/>
      </c>
      <c r="H17" s="49" t="str">
        <f>IF('Salesforce Dump'!G14&lt;&gt;"",'Salesforce Dump'!G14,"")</f>
        <v/>
      </c>
      <c r="I17" s="49" t="str">
        <f>IF('Salesforce Dump'!H14&lt;&gt;"",'Salesforce Dump'!H14,"")</f>
        <v/>
      </c>
      <c r="J17" s="51" t="str">
        <f>IF('Salesforce Dump'!I14&lt;&gt;"",'Salesforce Dump'!I14,"")</f>
        <v/>
      </c>
      <c r="K17" s="51" t="str">
        <f>IF('Salesforce Dump'!J14&lt;&gt;"",'Salesforce Dump'!J14,"")</f>
        <v/>
      </c>
      <c r="L17" s="52" t="str">
        <f>IFERROR(INDEX('OBA Dump'!C:C,MATCH($E17*1,'OBA Dump'!$A:$A,0)),"")</f>
        <v/>
      </c>
      <c r="M17" s="52" t="str">
        <f>IFERROR(INDEX('OBA Dump'!D:D,MATCH($E17*1,'OBA Dump'!$A:$A,0)),"")</f>
        <v/>
      </c>
      <c r="N17" s="52"/>
      <c r="O17" s="52"/>
      <c r="P17" s="53"/>
      <c r="Q17" s="52"/>
      <c r="R17" s="38" t="str">
        <f>_xlfn.IFNA(VLOOKUP(E17,'Pre-Booked Holidays'!A:B,2,0),"")</f>
        <v/>
      </c>
      <c r="S17" s="38" t="str">
        <f>IF(E17="","",IF(IFERROR(VLOOKUP(E17,'Onbase Report'!D:E,2,0),"")&lt;&gt;"","Details in Onbase","No Details"))</f>
        <v/>
      </c>
    </row>
    <row r="18" spans="1:19" s="38" customFormat="1" ht="14.5" x14ac:dyDescent="0.35">
      <c r="A18" s="47" t="str">
        <f>IF('Salesforce Dump'!A15&lt;&gt;"",'Salesforce Dump'!A15,"")</f>
        <v/>
      </c>
      <c r="B18" s="48"/>
      <c r="C18" s="49" t="str">
        <f>IF('Salesforce Dump'!B15&lt;&gt;"",'Salesforce Dump'!B15,"")</f>
        <v/>
      </c>
      <c r="D18" s="48"/>
      <c r="E18" s="50" t="str">
        <f>IF('Salesforce Dump'!C15&lt;&gt;"",'Salesforce Dump'!C15,"")</f>
        <v/>
      </c>
      <c r="F18" s="49" t="str">
        <f>IF('Salesforce Dump'!D15&lt;&gt;"",'Salesforce Dump'!D15,"")</f>
        <v/>
      </c>
      <c r="G18" s="49" t="str">
        <f>IF('Salesforce Dump'!E15&lt;&gt;"",'Salesforce Dump'!E15,"")</f>
        <v/>
      </c>
      <c r="H18" s="49" t="str">
        <f>IF('Salesforce Dump'!G15&lt;&gt;"",'Salesforce Dump'!G15,"")</f>
        <v/>
      </c>
      <c r="I18" s="49" t="str">
        <f>IF('Salesforce Dump'!H15&lt;&gt;"",'Salesforce Dump'!H15,"")</f>
        <v/>
      </c>
      <c r="J18" s="51" t="str">
        <f>IF('Salesforce Dump'!I15&lt;&gt;"",'Salesforce Dump'!I15,"")</f>
        <v/>
      </c>
      <c r="K18" s="51" t="str">
        <f>IF('Salesforce Dump'!J15&lt;&gt;"",'Salesforce Dump'!J15,"")</f>
        <v/>
      </c>
      <c r="L18" s="52" t="str">
        <f>IFERROR(INDEX('OBA Dump'!C:C,MATCH($E18*1,'OBA Dump'!$A:$A,0)),"")</f>
        <v/>
      </c>
      <c r="M18" s="52" t="str">
        <f>IFERROR(INDEX('OBA Dump'!D:D,MATCH($E18*1,'OBA Dump'!$A:$A,0)),"")</f>
        <v/>
      </c>
      <c r="N18" s="52"/>
      <c r="O18" s="52"/>
      <c r="P18" s="53"/>
      <c r="Q18" s="52"/>
      <c r="R18" s="38" t="str">
        <f>_xlfn.IFNA(VLOOKUP(E18,'Pre-Booked Holidays'!A:B,2,0),"")</f>
        <v/>
      </c>
      <c r="S18" s="38" t="str">
        <f>IF(E18="","",IF(IFERROR(VLOOKUP(E18,'Onbase Report'!D:E,2,0),"")&lt;&gt;"","Details in Onbase","No Details"))</f>
        <v/>
      </c>
    </row>
    <row r="19" spans="1:19" s="38" customFormat="1" ht="14.5" x14ac:dyDescent="0.35">
      <c r="A19" s="47" t="str">
        <f>IF('Salesforce Dump'!A16&lt;&gt;"",'Salesforce Dump'!A16,"")</f>
        <v/>
      </c>
      <c r="B19" s="48"/>
      <c r="C19" s="49" t="str">
        <f>IF('Salesforce Dump'!B16&lt;&gt;"",'Salesforce Dump'!B16,"")</f>
        <v/>
      </c>
      <c r="D19" s="48"/>
      <c r="E19" s="50" t="str">
        <f>IF('Salesforce Dump'!C16&lt;&gt;"",'Salesforce Dump'!C16,"")</f>
        <v/>
      </c>
      <c r="F19" s="49" t="str">
        <f>IF('Salesforce Dump'!D16&lt;&gt;"",'Salesforce Dump'!D16,"")</f>
        <v/>
      </c>
      <c r="G19" s="49" t="str">
        <f>IF('Salesforce Dump'!E16&lt;&gt;"",'Salesforce Dump'!E16,"")</f>
        <v/>
      </c>
      <c r="H19" s="49" t="str">
        <f>IF('Salesforce Dump'!G16&lt;&gt;"",'Salesforce Dump'!G16,"")</f>
        <v/>
      </c>
      <c r="I19" s="49" t="str">
        <f>IF('Salesforce Dump'!H16&lt;&gt;"",'Salesforce Dump'!H16,"")</f>
        <v/>
      </c>
      <c r="J19" s="51" t="str">
        <f>IF('Salesforce Dump'!I16&lt;&gt;"",'Salesforce Dump'!I16,"")</f>
        <v/>
      </c>
      <c r="K19" s="51" t="str">
        <f>IF('Salesforce Dump'!J16&lt;&gt;"",'Salesforce Dump'!J16,"")</f>
        <v/>
      </c>
      <c r="L19" s="52" t="str">
        <f>IFERROR(INDEX('OBA Dump'!C:C,MATCH($E19*1,'OBA Dump'!$A:$A,0)),"")</f>
        <v/>
      </c>
      <c r="M19" s="52" t="str">
        <f>IFERROR(INDEX('OBA Dump'!D:D,MATCH($E19*1,'OBA Dump'!$A:$A,0)),"")</f>
        <v/>
      </c>
      <c r="N19" s="52"/>
      <c r="O19" s="52"/>
      <c r="P19" s="53"/>
      <c r="Q19" s="52"/>
      <c r="R19" s="38" t="str">
        <f>_xlfn.IFNA(VLOOKUP(E19,'Pre-Booked Holidays'!A:B,2,0),"")</f>
        <v/>
      </c>
      <c r="S19" s="38" t="str">
        <f>IF(E19="","",IF(IFERROR(VLOOKUP(E19,'Onbase Report'!D:E,2,0),"")&lt;&gt;"","Details in Onbase","No Details"))</f>
        <v/>
      </c>
    </row>
    <row r="20" spans="1:19" s="38" customFormat="1" ht="14.5" x14ac:dyDescent="0.35">
      <c r="A20" s="47" t="str">
        <f>IF('Salesforce Dump'!A17&lt;&gt;"",'Salesforce Dump'!A17,"")</f>
        <v/>
      </c>
      <c r="B20" s="48"/>
      <c r="C20" s="49" t="str">
        <f>IF('Salesforce Dump'!B17&lt;&gt;"",'Salesforce Dump'!B17,"")</f>
        <v/>
      </c>
      <c r="D20" s="48"/>
      <c r="E20" s="50" t="str">
        <f>IF('Salesforce Dump'!C17&lt;&gt;"",'Salesforce Dump'!C17,"")</f>
        <v/>
      </c>
      <c r="F20" s="49" t="str">
        <f>IF('Salesforce Dump'!D17&lt;&gt;"",'Salesforce Dump'!D17,"")</f>
        <v/>
      </c>
      <c r="G20" s="49" t="str">
        <f>IF('Salesforce Dump'!E17&lt;&gt;"",'Salesforce Dump'!E17,"")</f>
        <v/>
      </c>
      <c r="H20" s="49" t="str">
        <f>IF('Salesforce Dump'!G17&lt;&gt;"",'Salesforce Dump'!G17,"")</f>
        <v/>
      </c>
      <c r="I20" s="49" t="str">
        <f>IF('Salesforce Dump'!H17&lt;&gt;"",'Salesforce Dump'!H17,"")</f>
        <v/>
      </c>
      <c r="J20" s="51" t="str">
        <f>IF('Salesforce Dump'!I17&lt;&gt;"",'Salesforce Dump'!I17,"")</f>
        <v/>
      </c>
      <c r="K20" s="51" t="str">
        <f>IF('Salesforce Dump'!J17&lt;&gt;"",'Salesforce Dump'!J17,"")</f>
        <v/>
      </c>
      <c r="L20" s="52" t="str">
        <f>IFERROR(INDEX('OBA Dump'!C:C,MATCH($E20*1,'OBA Dump'!$A:$A,0)),"")</f>
        <v/>
      </c>
      <c r="M20" s="52" t="str">
        <f>IFERROR(INDEX('OBA Dump'!D:D,MATCH($E20*1,'OBA Dump'!$A:$A,0)),"")</f>
        <v/>
      </c>
      <c r="N20" s="52"/>
      <c r="O20" s="52"/>
      <c r="P20" s="53"/>
      <c r="Q20" s="52"/>
      <c r="R20" s="38" t="str">
        <f>_xlfn.IFNA(VLOOKUP(E20,'Pre-Booked Holidays'!A:B,2,0),"")</f>
        <v/>
      </c>
      <c r="S20" s="38" t="str">
        <f>IF(E20="","",IF(IFERROR(VLOOKUP(E20,'Onbase Report'!D:E,2,0),"")&lt;&gt;"","Details in Onbase","No Details"))</f>
        <v/>
      </c>
    </row>
    <row r="21" spans="1:19" s="38" customFormat="1" ht="14.5" x14ac:dyDescent="0.35">
      <c r="A21" s="47" t="str">
        <f>IF('Salesforce Dump'!A18&lt;&gt;"",'Salesforce Dump'!A18,"")</f>
        <v/>
      </c>
      <c r="B21" s="48"/>
      <c r="C21" s="49" t="str">
        <f>IF('Salesforce Dump'!B18&lt;&gt;"",'Salesforce Dump'!B18,"")</f>
        <v/>
      </c>
      <c r="D21" s="48"/>
      <c r="E21" s="50" t="str">
        <f>IF('Salesforce Dump'!C18&lt;&gt;"",'Salesforce Dump'!C18,"")</f>
        <v/>
      </c>
      <c r="F21" s="49" t="str">
        <f>IF('Salesforce Dump'!D18&lt;&gt;"",'Salesforce Dump'!D18,"")</f>
        <v/>
      </c>
      <c r="G21" s="49" t="str">
        <f>IF('Salesforce Dump'!E18&lt;&gt;"",'Salesforce Dump'!E18,"")</f>
        <v/>
      </c>
      <c r="H21" s="49" t="str">
        <f>IF('Salesforce Dump'!G18&lt;&gt;"",'Salesforce Dump'!G18,"")</f>
        <v/>
      </c>
      <c r="I21" s="49" t="str">
        <f>IF('Salesforce Dump'!H18&lt;&gt;"",'Salesforce Dump'!H18,"")</f>
        <v/>
      </c>
      <c r="J21" s="51" t="str">
        <f>IF('Salesforce Dump'!I18&lt;&gt;"",'Salesforce Dump'!I18,"")</f>
        <v/>
      </c>
      <c r="K21" s="51" t="str">
        <f>IF('Salesforce Dump'!J18&lt;&gt;"",'Salesforce Dump'!J18,"")</f>
        <v/>
      </c>
      <c r="L21" s="52" t="str">
        <f>IFERROR(INDEX('OBA Dump'!C:C,MATCH($E21*1,'OBA Dump'!$A:$A,0)),"")</f>
        <v/>
      </c>
      <c r="M21" s="52" t="str">
        <f>IFERROR(INDEX('OBA Dump'!D:D,MATCH($E21*1,'OBA Dump'!$A:$A,0)),"")</f>
        <v/>
      </c>
      <c r="N21" s="52"/>
      <c r="O21" s="52"/>
      <c r="P21" s="53"/>
      <c r="Q21" s="52"/>
      <c r="R21" s="38" t="str">
        <f>_xlfn.IFNA(VLOOKUP(E21,'Pre-Booked Holidays'!A:B,2,0),"")</f>
        <v/>
      </c>
      <c r="S21" s="38" t="str">
        <f>IF(E21="","",IF(IFERROR(VLOOKUP(E21,'Onbase Report'!D:E,2,0),"")&lt;&gt;"","Details in Onbase","No Details"))</f>
        <v/>
      </c>
    </row>
    <row r="22" spans="1:19" s="38" customFormat="1" ht="14.5" x14ac:dyDescent="0.35">
      <c r="A22" s="47" t="str">
        <f>IF('Salesforce Dump'!A19&lt;&gt;"",'Salesforce Dump'!A19,"")</f>
        <v/>
      </c>
      <c r="B22" s="48"/>
      <c r="C22" s="49" t="str">
        <f>IF('Salesforce Dump'!B19&lt;&gt;"",'Salesforce Dump'!B19,"")</f>
        <v/>
      </c>
      <c r="D22" s="48"/>
      <c r="E22" s="50" t="str">
        <f>IF('Salesforce Dump'!C19&lt;&gt;"",'Salesforce Dump'!C19,"")</f>
        <v/>
      </c>
      <c r="F22" s="49" t="str">
        <f>IF('Salesforce Dump'!D19&lt;&gt;"",'Salesforce Dump'!D19,"")</f>
        <v/>
      </c>
      <c r="G22" s="49" t="str">
        <f>IF('Salesforce Dump'!E19&lt;&gt;"",'Salesforce Dump'!E19,"")</f>
        <v/>
      </c>
      <c r="H22" s="49" t="str">
        <f>IF('Salesforce Dump'!G19&lt;&gt;"",'Salesforce Dump'!G19,"")</f>
        <v/>
      </c>
      <c r="I22" s="49" t="str">
        <f>IF('Salesforce Dump'!H19&lt;&gt;"",'Salesforce Dump'!H19,"")</f>
        <v/>
      </c>
      <c r="J22" s="51" t="str">
        <f>IF('Salesforce Dump'!I19&lt;&gt;"",'Salesforce Dump'!I19,"")</f>
        <v/>
      </c>
      <c r="K22" s="51" t="str">
        <f>IF('Salesforce Dump'!J19&lt;&gt;"",'Salesforce Dump'!J19,"")</f>
        <v/>
      </c>
      <c r="L22" s="52" t="str">
        <f>IFERROR(INDEX('OBA Dump'!C:C,MATCH($E22*1,'OBA Dump'!$A:$A,0)),"")</f>
        <v/>
      </c>
      <c r="M22" s="52" t="str">
        <f>IFERROR(INDEX('OBA Dump'!D:D,MATCH($E22*1,'OBA Dump'!$A:$A,0)),"")</f>
        <v/>
      </c>
      <c r="N22" s="52"/>
      <c r="O22" s="52"/>
      <c r="P22" s="53"/>
      <c r="Q22" s="52"/>
      <c r="R22" s="38" t="str">
        <f>_xlfn.IFNA(VLOOKUP(E22,'Pre-Booked Holidays'!A:B,2,0),"")</f>
        <v/>
      </c>
      <c r="S22" s="38" t="str">
        <f>IF(E22="","",IF(IFERROR(VLOOKUP(E22,'Onbase Report'!D:E,2,0),"")&lt;&gt;"","Details in Onbase","No Details"))</f>
        <v/>
      </c>
    </row>
    <row r="23" spans="1:19" s="38" customFormat="1" ht="14.5" x14ac:dyDescent="0.35">
      <c r="A23" s="47" t="str">
        <f>IF('Salesforce Dump'!A20&lt;&gt;"",'Salesforce Dump'!A20,"")</f>
        <v/>
      </c>
      <c r="B23" s="48"/>
      <c r="C23" s="49" t="str">
        <f>IF('Salesforce Dump'!B20&lt;&gt;"",'Salesforce Dump'!B20,"")</f>
        <v/>
      </c>
      <c r="D23" s="48"/>
      <c r="E23" s="50" t="str">
        <f>IF('Salesforce Dump'!C20&lt;&gt;"",'Salesforce Dump'!C20,"")</f>
        <v/>
      </c>
      <c r="F23" s="49" t="str">
        <f>IF('Salesforce Dump'!D20&lt;&gt;"",'Salesforce Dump'!D20,"")</f>
        <v/>
      </c>
      <c r="G23" s="49" t="str">
        <f>IF('Salesforce Dump'!E20&lt;&gt;"",'Salesforce Dump'!E20,"")</f>
        <v/>
      </c>
      <c r="H23" s="49" t="str">
        <f>IF('Salesforce Dump'!G20&lt;&gt;"",'Salesforce Dump'!G20,"")</f>
        <v/>
      </c>
      <c r="I23" s="49" t="str">
        <f>IF('Salesforce Dump'!H20&lt;&gt;"",'Salesforce Dump'!H20,"")</f>
        <v/>
      </c>
      <c r="J23" s="51" t="str">
        <f>IF('Salesforce Dump'!I20&lt;&gt;"",'Salesforce Dump'!I20,"")</f>
        <v/>
      </c>
      <c r="K23" s="51" t="str">
        <f>IF('Salesforce Dump'!J20&lt;&gt;"",'Salesforce Dump'!J20,"")</f>
        <v/>
      </c>
      <c r="L23" s="52" t="str">
        <f>IFERROR(INDEX('OBA Dump'!C:C,MATCH($E23*1,'OBA Dump'!$A:$A,0)),"")</f>
        <v/>
      </c>
      <c r="M23" s="52" t="str">
        <f>IFERROR(INDEX('OBA Dump'!D:D,MATCH($E23*1,'OBA Dump'!$A:$A,0)),"")</f>
        <v/>
      </c>
      <c r="N23" s="52"/>
      <c r="O23" s="52"/>
      <c r="P23" s="53"/>
      <c r="Q23" s="52"/>
      <c r="R23" s="38" t="str">
        <f>_xlfn.IFNA(VLOOKUP(E23,'Pre-Booked Holidays'!A:B,2,0),"")</f>
        <v/>
      </c>
      <c r="S23" s="38" t="str">
        <f>IF(E23="","",IF(IFERROR(VLOOKUP(E23,'Onbase Report'!D:E,2,0),"")&lt;&gt;"","Details in Onbase","No Details"))</f>
        <v/>
      </c>
    </row>
    <row r="24" spans="1:19" s="38" customFormat="1" ht="14.5" x14ac:dyDescent="0.35">
      <c r="A24" s="47" t="str">
        <f>IF('Salesforce Dump'!A21&lt;&gt;"",'Salesforce Dump'!A21,"")</f>
        <v/>
      </c>
      <c r="B24" s="48"/>
      <c r="C24" s="49" t="str">
        <f>IF('Salesforce Dump'!B21&lt;&gt;"",'Salesforce Dump'!B21,"")</f>
        <v/>
      </c>
      <c r="D24" s="48"/>
      <c r="E24" s="50" t="str">
        <f>IF('Salesforce Dump'!C21&lt;&gt;"",'Salesforce Dump'!C21,"")</f>
        <v/>
      </c>
      <c r="F24" s="49" t="str">
        <f>IF('Salesforce Dump'!D21&lt;&gt;"",'Salesforce Dump'!D21,"")</f>
        <v/>
      </c>
      <c r="G24" s="49" t="str">
        <f>IF('Salesforce Dump'!E21&lt;&gt;"",'Salesforce Dump'!E21,"")</f>
        <v/>
      </c>
      <c r="H24" s="49" t="str">
        <f>IF('Salesforce Dump'!G21&lt;&gt;"",'Salesforce Dump'!G21,"")</f>
        <v/>
      </c>
      <c r="I24" s="49" t="str">
        <f>IF('Salesforce Dump'!H21&lt;&gt;"",'Salesforce Dump'!H21,"")</f>
        <v/>
      </c>
      <c r="J24" s="51" t="str">
        <f>IF('Salesforce Dump'!I21&lt;&gt;"",'Salesforce Dump'!I21,"")</f>
        <v/>
      </c>
      <c r="K24" s="51" t="str">
        <f>IF('Salesforce Dump'!J21&lt;&gt;"",'Salesforce Dump'!J21,"")</f>
        <v/>
      </c>
      <c r="L24" s="52" t="str">
        <f>IFERROR(INDEX('OBA Dump'!C:C,MATCH($E24*1,'OBA Dump'!$A:$A,0)),"")</f>
        <v/>
      </c>
      <c r="M24" s="52" t="str">
        <f>IFERROR(INDEX('OBA Dump'!D:D,MATCH($E24*1,'OBA Dump'!$A:$A,0)),"")</f>
        <v/>
      </c>
      <c r="N24" s="52"/>
      <c r="O24" s="52"/>
      <c r="P24" s="53"/>
      <c r="Q24" s="52"/>
      <c r="R24" s="38" t="str">
        <f>_xlfn.IFNA(VLOOKUP(E24,'Pre-Booked Holidays'!A:B,2,0),"")</f>
        <v/>
      </c>
      <c r="S24" s="38" t="str">
        <f>IF(E24="","",IF(IFERROR(VLOOKUP(E24,'Onbase Report'!D:E,2,0),"")&lt;&gt;"","Details in Onbase","No Details"))</f>
        <v/>
      </c>
    </row>
    <row r="25" spans="1:19" s="38" customFormat="1" ht="14.5" x14ac:dyDescent="0.35">
      <c r="A25" s="47" t="str">
        <f>IF('Salesforce Dump'!A22&lt;&gt;"",'Salesforce Dump'!A22,"")</f>
        <v/>
      </c>
      <c r="B25" s="48"/>
      <c r="C25" s="49" t="str">
        <f>IF('Salesforce Dump'!B22&lt;&gt;"",'Salesforce Dump'!B22,"")</f>
        <v/>
      </c>
      <c r="D25" s="48"/>
      <c r="E25" s="50" t="str">
        <f>IF('Salesforce Dump'!C22&lt;&gt;"",'Salesforce Dump'!C22,"")</f>
        <v/>
      </c>
      <c r="F25" s="49" t="str">
        <f>IF('Salesforce Dump'!D22&lt;&gt;"",'Salesforce Dump'!D22,"")</f>
        <v/>
      </c>
      <c r="G25" s="49" t="str">
        <f>IF('Salesforce Dump'!E22&lt;&gt;"",'Salesforce Dump'!E22,"")</f>
        <v/>
      </c>
      <c r="H25" s="49" t="str">
        <f>IF('Salesforce Dump'!G22&lt;&gt;"",'Salesforce Dump'!G22,"")</f>
        <v/>
      </c>
      <c r="I25" s="49" t="str">
        <f>IF('Salesforce Dump'!H22&lt;&gt;"",'Salesforce Dump'!H22,"")</f>
        <v/>
      </c>
      <c r="J25" s="51" t="str">
        <f>IF('Salesforce Dump'!I22&lt;&gt;"",'Salesforce Dump'!I22,"")</f>
        <v/>
      </c>
      <c r="K25" s="51" t="str">
        <f>IF('Salesforce Dump'!J22&lt;&gt;"",'Salesforce Dump'!J22,"")</f>
        <v/>
      </c>
      <c r="L25" s="52" t="str">
        <f>IFERROR(INDEX('OBA Dump'!C:C,MATCH($E25*1,'OBA Dump'!$A:$A,0)),"")</f>
        <v/>
      </c>
      <c r="M25" s="52" t="str">
        <f>IFERROR(INDEX('OBA Dump'!D:D,MATCH($E25*1,'OBA Dump'!$A:$A,0)),"")</f>
        <v/>
      </c>
      <c r="N25" s="52"/>
      <c r="O25" s="52"/>
      <c r="P25" s="53"/>
      <c r="Q25" s="52"/>
      <c r="R25" s="38" t="str">
        <f>_xlfn.IFNA(VLOOKUP(E25,'Pre-Booked Holidays'!A:B,2,0),"")</f>
        <v/>
      </c>
      <c r="S25" s="38" t="str">
        <f>IF(E25="","",IF(IFERROR(VLOOKUP(E25,'Onbase Report'!D:E,2,0),"")&lt;&gt;"","Details in Onbase","No Details"))</f>
        <v/>
      </c>
    </row>
    <row r="26" spans="1:19" s="38" customFormat="1" ht="14.5" x14ac:dyDescent="0.35">
      <c r="A26" s="47" t="str">
        <f>IF('Salesforce Dump'!A23&lt;&gt;"",'Salesforce Dump'!A23,"")</f>
        <v/>
      </c>
      <c r="B26" s="48"/>
      <c r="C26" s="49" t="str">
        <f>IF('Salesforce Dump'!B23&lt;&gt;"",'Salesforce Dump'!B23,"")</f>
        <v/>
      </c>
      <c r="D26" s="48"/>
      <c r="E26" s="50" t="str">
        <f>IF('Salesforce Dump'!C23&lt;&gt;"",'Salesforce Dump'!C23,"")</f>
        <v/>
      </c>
      <c r="F26" s="49" t="str">
        <f>IF('Salesforce Dump'!D23&lt;&gt;"",'Salesforce Dump'!D23,"")</f>
        <v/>
      </c>
      <c r="G26" s="49" t="str">
        <f>IF('Salesforce Dump'!E23&lt;&gt;"",'Salesforce Dump'!E23,"")</f>
        <v/>
      </c>
      <c r="H26" s="49" t="str">
        <f>IF('Salesforce Dump'!G23&lt;&gt;"",'Salesforce Dump'!G23,"")</f>
        <v/>
      </c>
      <c r="I26" s="49" t="str">
        <f>IF('Salesforce Dump'!H23&lt;&gt;"",'Salesforce Dump'!H23,"")</f>
        <v/>
      </c>
      <c r="J26" s="51" t="str">
        <f>IF('Salesforce Dump'!I23&lt;&gt;"",'Salesforce Dump'!I23,"")</f>
        <v/>
      </c>
      <c r="K26" s="51" t="str">
        <f>IF('Salesforce Dump'!J23&lt;&gt;"",'Salesforce Dump'!J23,"")</f>
        <v/>
      </c>
      <c r="L26" s="52" t="str">
        <f>IFERROR(INDEX('OBA Dump'!C:C,MATCH($E26*1,'OBA Dump'!$A:$A,0)),"")</f>
        <v/>
      </c>
      <c r="M26" s="52" t="str">
        <f>IFERROR(INDEX('OBA Dump'!D:D,MATCH($E26*1,'OBA Dump'!$A:$A,0)),"")</f>
        <v/>
      </c>
      <c r="N26" s="52"/>
      <c r="O26" s="52"/>
      <c r="P26" s="53"/>
      <c r="Q26" s="52"/>
      <c r="R26" s="38" t="str">
        <f>_xlfn.IFNA(VLOOKUP(E26,'Pre-Booked Holidays'!A:B,2,0),"")</f>
        <v/>
      </c>
      <c r="S26" s="38" t="str">
        <f>IF(E26="","",IF(IFERROR(VLOOKUP(E26,'Onbase Report'!D:E,2,0),"")&lt;&gt;"","Details in Onbase","No Details"))</f>
        <v/>
      </c>
    </row>
    <row r="27" spans="1:19" s="38" customFormat="1" ht="14.5" x14ac:dyDescent="0.35">
      <c r="A27" s="47" t="str">
        <f>IF('Salesforce Dump'!A24&lt;&gt;"",'Salesforce Dump'!A24,"")</f>
        <v/>
      </c>
      <c r="B27" s="48"/>
      <c r="C27" s="49" t="str">
        <f>IF('Salesforce Dump'!B24&lt;&gt;"",'Salesforce Dump'!B24,"")</f>
        <v/>
      </c>
      <c r="D27" s="48"/>
      <c r="E27" s="50" t="str">
        <f>IF('Salesforce Dump'!C24&lt;&gt;"",'Salesforce Dump'!C24,"")</f>
        <v/>
      </c>
      <c r="F27" s="49" t="str">
        <f>IF('Salesforce Dump'!D24&lt;&gt;"",'Salesforce Dump'!D24,"")</f>
        <v/>
      </c>
      <c r="G27" s="49" t="str">
        <f>IF('Salesforce Dump'!E24&lt;&gt;"",'Salesforce Dump'!E24,"")</f>
        <v/>
      </c>
      <c r="H27" s="49" t="str">
        <f>IF('Salesforce Dump'!G24&lt;&gt;"",'Salesforce Dump'!G24,"")</f>
        <v/>
      </c>
      <c r="I27" s="49" t="str">
        <f>IF('Salesforce Dump'!H24&lt;&gt;"",'Salesforce Dump'!H24,"")</f>
        <v/>
      </c>
      <c r="J27" s="51" t="str">
        <f>IF('Salesforce Dump'!I24&lt;&gt;"",'Salesforce Dump'!I24,"")</f>
        <v/>
      </c>
      <c r="K27" s="51" t="str">
        <f>IF('Salesforce Dump'!J24&lt;&gt;"",'Salesforce Dump'!J24,"")</f>
        <v/>
      </c>
      <c r="L27" s="52" t="str">
        <f>IFERROR(INDEX('OBA Dump'!C:C,MATCH($E27*1,'OBA Dump'!$A:$A,0)),"")</f>
        <v/>
      </c>
      <c r="M27" s="52" t="str">
        <f>IFERROR(INDEX('OBA Dump'!D:D,MATCH($E27*1,'OBA Dump'!$A:$A,0)),"")</f>
        <v/>
      </c>
      <c r="N27" s="52"/>
      <c r="O27" s="52"/>
      <c r="P27" s="53"/>
      <c r="Q27" s="52"/>
      <c r="R27" s="38" t="str">
        <f>_xlfn.IFNA(VLOOKUP(E27,'Pre-Booked Holidays'!A:B,2,0),"")</f>
        <v/>
      </c>
      <c r="S27" s="38" t="str">
        <f>IF(E27="","",IF(IFERROR(VLOOKUP(E27,'Onbase Report'!D:E,2,0),"")&lt;&gt;"","Details in Onbase","No Details"))</f>
        <v/>
      </c>
    </row>
    <row r="28" spans="1:19" s="38" customFormat="1" ht="14.5" x14ac:dyDescent="0.35">
      <c r="A28" s="47" t="str">
        <f>IF('Salesforce Dump'!A25&lt;&gt;"",'Salesforce Dump'!A25,"")</f>
        <v/>
      </c>
      <c r="B28" s="48"/>
      <c r="C28" s="49" t="str">
        <f>IF('Salesforce Dump'!B25&lt;&gt;"",'Salesforce Dump'!B25,"")</f>
        <v/>
      </c>
      <c r="D28" s="48"/>
      <c r="E28" s="50" t="str">
        <f>IF('Salesforce Dump'!C25&lt;&gt;"",'Salesforce Dump'!C25,"")</f>
        <v/>
      </c>
      <c r="F28" s="49" t="str">
        <f>IF('Salesforce Dump'!D25&lt;&gt;"",'Salesforce Dump'!D25,"")</f>
        <v/>
      </c>
      <c r="G28" s="49" t="str">
        <f>IF('Salesforce Dump'!E25&lt;&gt;"",'Salesforce Dump'!E25,"")</f>
        <v/>
      </c>
      <c r="H28" s="49" t="str">
        <f>IF('Salesforce Dump'!G25&lt;&gt;"",'Salesforce Dump'!G25,"")</f>
        <v/>
      </c>
      <c r="I28" s="49" t="str">
        <f>IF('Salesforce Dump'!H25&lt;&gt;"",'Salesforce Dump'!H25,"")</f>
        <v/>
      </c>
      <c r="J28" s="51" t="str">
        <f>IF('Salesforce Dump'!I25&lt;&gt;"",'Salesforce Dump'!I25,"")</f>
        <v/>
      </c>
      <c r="K28" s="51" t="str">
        <f>IF('Salesforce Dump'!J25&lt;&gt;"",'Salesforce Dump'!J25,"")</f>
        <v/>
      </c>
      <c r="L28" s="52" t="str">
        <f>IFERROR(INDEX('OBA Dump'!C:C,MATCH($E28*1,'OBA Dump'!$A:$A,0)),"")</f>
        <v/>
      </c>
      <c r="M28" s="52" t="str">
        <f>IFERROR(INDEX('OBA Dump'!D:D,MATCH($E28*1,'OBA Dump'!$A:$A,0)),"")</f>
        <v/>
      </c>
      <c r="N28" s="52"/>
      <c r="O28" s="52"/>
      <c r="P28" s="53"/>
      <c r="Q28" s="52"/>
      <c r="R28" s="38" t="str">
        <f>_xlfn.IFNA(VLOOKUP(E28,'Pre-Booked Holidays'!A:B,2,0),"")</f>
        <v/>
      </c>
      <c r="S28" s="38" t="str">
        <f>IF(E28="","",IF(IFERROR(VLOOKUP(E28,'Onbase Report'!D:E,2,0),"")&lt;&gt;"","Details in Onbase","No Details"))</f>
        <v/>
      </c>
    </row>
    <row r="29" spans="1:19" s="38" customFormat="1" ht="14.5" x14ac:dyDescent="0.35">
      <c r="A29" s="47" t="str">
        <f>IF('Salesforce Dump'!A26&lt;&gt;"",'Salesforce Dump'!A26,"")</f>
        <v/>
      </c>
      <c r="B29" s="48"/>
      <c r="C29" s="49" t="str">
        <f>IF('Salesforce Dump'!B26&lt;&gt;"",'Salesforce Dump'!B26,"")</f>
        <v/>
      </c>
      <c r="D29" s="48"/>
      <c r="E29" s="50" t="str">
        <f>IF('Salesforce Dump'!C26&lt;&gt;"",'Salesforce Dump'!C26,"")</f>
        <v/>
      </c>
      <c r="F29" s="49" t="str">
        <f>IF('Salesforce Dump'!D26&lt;&gt;"",'Salesforce Dump'!D26,"")</f>
        <v/>
      </c>
      <c r="G29" s="49" t="str">
        <f>IF('Salesforce Dump'!E26&lt;&gt;"",'Salesforce Dump'!E26,"")</f>
        <v/>
      </c>
      <c r="H29" s="49" t="str">
        <f>IF('Salesforce Dump'!G26&lt;&gt;"",'Salesforce Dump'!G26,"")</f>
        <v/>
      </c>
      <c r="I29" s="49" t="str">
        <f>IF('Salesforce Dump'!H26&lt;&gt;"",'Salesforce Dump'!H26,"")</f>
        <v/>
      </c>
      <c r="J29" s="51" t="str">
        <f>IF('Salesforce Dump'!I26&lt;&gt;"",'Salesforce Dump'!I26,"")</f>
        <v/>
      </c>
      <c r="K29" s="51" t="str">
        <f>IF('Salesforce Dump'!J26&lt;&gt;"",'Salesforce Dump'!J26,"")</f>
        <v/>
      </c>
      <c r="L29" s="52" t="str">
        <f>IFERROR(INDEX('OBA Dump'!C:C,MATCH($E29*1,'OBA Dump'!$A:$A,0)),"")</f>
        <v/>
      </c>
      <c r="M29" s="52" t="str">
        <f>IFERROR(INDEX('OBA Dump'!D:D,MATCH($E29*1,'OBA Dump'!$A:$A,0)),"")</f>
        <v/>
      </c>
      <c r="N29" s="52"/>
      <c r="O29" s="52"/>
      <c r="P29" s="53"/>
      <c r="Q29" s="52"/>
      <c r="R29" s="38" t="str">
        <f>_xlfn.IFNA(VLOOKUP(E29,'Pre-Booked Holidays'!A:B,2,0),"")</f>
        <v/>
      </c>
      <c r="S29" s="38" t="str">
        <f>IF(E29="","",IF(IFERROR(VLOOKUP(E29,'Onbase Report'!D:E,2,0),"")&lt;&gt;"","Details in Onbase","No Details"))</f>
        <v/>
      </c>
    </row>
    <row r="30" spans="1:19" s="38" customFormat="1" ht="14.5" x14ac:dyDescent="0.35">
      <c r="A30" s="47" t="str">
        <f>IF('Salesforce Dump'!A27&lt;&gt;"",'Salesforce Dump'!A27,"")</f>
        <v/>
      </c>
      <c r="B30" s="48"/>
      <c r="C30" s="49" t="str">
        <f>IF('Salesforce Dump'!B27&lt;&gt;"",'Salesforce Dump'!B27,"")</f>
        <v/>
      </c>
      <c r="D30" s="48"/>
      <c r="E30" s="50" t="str">
        <f>IF('Salesforce Dump'!C27&lt;&gt;"",'Salesforce Dump'!C27,"")</f>
        <v/>
      </c>
      <c r="F30" s="49" t="str">
        <f>IF('Salesforce Dump'!D27&lt;&gt;"",'Salesforce Dump'!D27,"")</f>
        <v/>
      </c>
      <c r="G30" s="49" t="str">
        <f>IF('Salesforce Dump'!E27&lt;&gt;"",'Salesforce Dump'!E27,"")</f>
        <v/>
      </c>
      <c r="H30" s="49" t="str">
        <f>IF('Salesforce Dump'!G27&lt;&gt;"",'Salesforce Dump'!G27,"")</f>
        <v/>
      </c>
      <c r="I30" s="49" t="str">
        <f>IF('Salesforce Dump'!H27&lt;&gt;"",'Salesforce Dump'!H27,"")</f>
        <v/>
      </c>
      <c r="J30" s="51" t="str">
        <f>IF('Salesforce Dump'!I27&lt;&gt;"",'Salesforce Dump'!I27,"")</f>
        <v/>
      </c>
      <c r="K30" s="51" t="str">
        <f>IF('Salesforce Dump'!J27&lt;&gt;"",'Salesforce Dump'!J27,"")</f>
        <v/>
      </c>
      <c r="L30" s="52" t="str">
        <f>IFERROR(INDEX('OBA Dump'!C:C,MATCH($E30*1,'OBA Dump'!$A:$A,0)),"")</f>
        <v/>
      </c>
      <c r="M30" s="52" t="str">
        <f>IFERROR(INDEX('OBA Dump'!D:D,MATCH($E30*1,'OBA Dump'!$A:$A,0)),"")</f>
        <v/>
      </c>
      <c r="N30" s="52"/>
      <c r="O30" s="52"/>
      <c r="P30" s="53"/>
      <c r="Q30" s="52"/>
      <c r="R30" s="38" t="str">
        <f>_xlfn.IFNA(VLOOKUP(E30,'Pre-Booked Holidays'!A:B,2,0),"")</f>
        <v/>
      </c>
      <c r="S30" s="38" t="str">
        <f>IF(E30="","",IF(IFERROR(VLOOKUP(E30,'Onbase Report'!D:E,2,0),"")&lt;&gt;"","Details in Onbase","No Details"))</f>
        <v/>
      </c>
    </row>
    <row r="31" spans="1:19" s="38" customFormat="1" ht="14.5" x14ac:dyDescent="0.35">
      <c r="A31" s="47" t="str">
        <f>IF('Salesforce Dump'!A28&lt;&gt;"",'Salesforce Dump'!A28,"")</f>
        <v/>
      </c>
      <c r="B31" s="48"/>
      <c r="C31" s="49" t="str">
        <f>IF('Salesforce Dump'!B28&lt;&gt;"",'Salesforce Dump'!B28,"")</f>
        <v/>
      </c>
      <c r="D31" s="48"/>
      <c r="E31" s="50" t="str">
        <f>IF('Salesforce Dump'!C28&lt;&gt;"",'Salesforce Dump'!C28,"")</f>
        <v/>
      </c>
      <c r="F31" s="49" t="str">
        <f>IF('Salesforce Dump'!D28&lt;&gt;"",'Salesforce Dump'!D28,"")</f>
        <v/>
      </c>
      <c r="G31" s="49" t="str">
        <f>IF('Salesforce Dump'!E28&lt;&gt;"",'Salesforce Dump'!E28,"")</f>
        <v/>
      </c>
      <c r="H31" s="49" t="str">
        <f>IF('Salesforce Dump'!G28&lt;&gt;"",'Salesforce Dump'!G28,"")</f>
        <v/>
      </c>
      <c r="I31" s="49" t="str">
        <f>IF('Salesforce Dump'!H28&lt;&gt;"",'Salesforce Dump'!H28,"")</f>
        <v/>
      </c>
      <c r="J31" s="51" t="str">
        <f>IF('Salesforce Dump'!I28&lt;&gt;"",'Salesforce Dump'!I28,"")</f>
        <v/>
      </c>
      <c r="K31" s="51" t="str">
        <f>IF('Salesforce Dump'!J28&lt;&gt;"",'Salesforce Dump'!J28,"")</f>
        <v/>
      </c>
      <c r="L31" s="52" t="str">
        <f>IFERROR(INDEX('OBA Dump'!C:C,MATCH($E31*1,'OBA Dump'!$A:$A,0)),"")</f>
        <v/>
      </c>
      <c r="M31" s="52" t="str">
        <f>IFERROR(INDEX('OBA Dump'!D:D,MATCH($E31*1,'OBA Dump'!$A:$A,0)),"")</f>
        <v/>
      </c>
      <c r="N31" s="52"/>
      <c r="O31" s="52"/>
      <c r="P31" s="53"/>
      <c r="Q31" s="52"/>
      <c r="R31" s="38" t="str">
        <f>_xlfn.IFNA(VLOOKUP(E31,'Pre-Booked Holidays'!A:B,2,0),"")</f>
        <v/>
      </c>
      <c r="S31" s="38" t="str">
        <f>IF(E31="","",IF(IFERROR(VLOOKUP(E31,'Onbase Report'!D:E,2,0),"")&lt;&gt;"","Details in Onbase","No Details"))</f>
        <v/>
      </c>
    </row>
    <row r="32" spans="1:19" s="38" customFormat="1" ht="14.5" x14ac:dyDescent="0.35">
      <c r="A32" s="47" t="str">
        <f>IF('Salesforce Dump'!A29&lt;&gt;"",'Salesforce Dump'!A29,"")</f>
        <v/>
      </c>
      <c r="B32" s="48"/>
      <c r="C32" s="49" t="str">
        <f>IF('Salesforce Dump'!B29&lt;&gt;"",'Salesforce Dump'!B29,"")</f>
        <v/>
      </c>
      <c r="D32" s="48"/>
      <c r="E32" s="50" t="str">
        <f>IF('Salesforce Dump'!C29&lt;&gt;"",'Salesforce Dump'!C29,"")</f>
        <v/>
      </c>
      <c r="F32" s="49" t="str">
        <f>IF('Salesforce Dump'!D29&lt;&gt;"",'Salesforce Dump'!D29,"")</f>
        <v/>
      </c>
      <c r="G32" s="49" t="str">
        <f>IF('Salesforce Dump'!E29&lt;&gt;"",'Salesforce Dump'!E29,"")</f>
        <v/>
      </c>
      <c r="H32" s="49" t="str">
        <f>IF('Salesforce Dump'!G29&lt;&gt;"",'Salesforce Dump'!G29,"")</f>
        <v/>
      </c>
      <c r="I32" s="49" t="str">
        <f>IF('Salesforce Dump'!H29&lt;&gt;"",'Salesforce Dump'!H29,"")</f>
        <v/>
      </c>
      <c r="J32" s="51" t="str">
        <f>IF('Salesforce Dump'!I29&lt;&gt;"",'Salesforce Dump'!I29,"")</f>
        <v/>
      </c>
      <c r="K32" s="51" t="str">
        <f>IF('Salesforce Dump'!J29&lt;&gt;"",'Salesforce Dump'!J29,"")</f>
        <v/>
      </c>
      <c r="L32" s="52" t="str">
        <f>IFERROR(INDEX('OBA Dump'!C:C,MATCH($E32*1,'OBA Dump'!$A:$A,0)),"")</f>
        <v/>
      </c>
      <c r="M32" s="52" t="str">
        <f>IFERROR(INDEX('OBA Dump'!D:D,MATCH($E32*1,'OBA Dump'!$A:$A,0)),"")</f>
        <v/>
      </c>
      <c r="N32" s="52"/>
      <c r="O32" s="52"/>
      <c r="P32" s="53"/>
      <c r="Q32" s="52"/>
      <c r="R32" s="38" t="str">
        <f>_xlfn.IFNA(VLOOKUP(E32,'Pre-Booked Holidays'!A:B,2,0),"")</f>
        <v/>
      </c>
      <c r="S32" s="38" t="str">
        <f>IF(E32="","",IF(IFERROR(VLOOKUP(E32,'Onbase Report'!D:E,2,0),"")&lt;&gt;"","Details in Onbase","No Details"))</f>
        <v/>
      </c>
    </row>
    <row r="33" spans="1:19" s="38" customFormat="1" ht="14.5" x14ac:dyDescent="0.35">
      <c r="A33" s="47" t="str">
        <f>IF('Salesforce Dump'!A30&lt;&gt;"",'Salesforce Dump'!A30,"")</f>
        <v/>
      </c>
      <c r="B33" s="48"/>
      <c r="C33" s="49" t="str">
        <f>IF('Salesforce Dump'!B30&lt;&gt;"",'Salesforce Dump'!B30,"")</f>
        <v/>
      </c>
      <c r="D33" s="48"/>
      <c r="E33" s="50" t="str">
        <f>IF('Salesforce Dump'!C30&lt;&gt;"",'Salesforce Dump'!C30,"")</f>
        <v/>
      </c>
      <c r="F33" s="49" t="str">
        <f>IF('Salesforce Dump'!D30&lt;&gt;"",'Salesforce Dump'!D30,"")</f>
        <v/>
      </c>
      <c r="G33" s="49" t="str">
        <f>IF('Salesforce Dump'!E30&lt;&gt;"",'Salesforce Dump'!E30,"")</f>
        <v/>
      </c>
      <c r="H33" s="49" t="str">
        <f>IF('Salesforce Dump'!G30&lt;&gt;"",'Salesforce Dump'!G30,"")</f>
        <v/>
      </c>
      <c r="I33" s="49" t="str">
        <f>IF('Salesforce Dump'!H30&lt;&gt;"",'Salesforce Dump'!H30,"")</f>
        <v/>
      </c>
      <c r="J33" s="51" t="str">
        <f>IF('Salesforce Dump'!I30&lt;&gt;"",'Salesforce Dump'!I30,"")</f>
        <v/>
      </c>
      <c r="K33" s="51" t="str">
        <f>IF('Salesforce Dump'!J30&lt;&gt;"",'Salesforce Dump'!J30,"")</f>
        <v/>
      </c>
      <c r="L33" s="52" t="str">
        <f>IFERROR(INDEX('OBA Dump'!C:C,MATCH($E33*1,'OBA Dump'!$A:$A,0)),"")</f>
        <v/>
      </c>
      <c r="M33" s="52" t="str">
        <f>IFERROR(INDEX('OBA Dump'!D:D,MATCH($E33*1,'OBA Dump'!$A:$A,0)),"")</f>
        <v/>
      </c>
      <c r="N33" s="52"/>
      <c r="O33" s="52"/>
      <c r="P33" s="53"/>
      <c r="Q33" s="52"/>
      <c r="R33" s="38" t="str">
        <f>_xlfn.IFNA(VLOOKUP(E33,'Pre-Booked Holidays'!A:B,2,0),"")</f>
        <v/>
      </c>
      <c r="S33" s="38" t="str">
        <f>IF(E33="","",IF(IFERROR(VLOOKUP(E33,'Onbase Report'!D:E,2,0),"")&lt;&gt;"","Details in Onbase","No Details"))</f>
        <v/>
      </c>
    </row>
    <row r="34" spans="1:19" s="38" customFormat="1" ht="14.5" x14ac:dyDescent="0.35">
      <c r="A34" s="47" t="str">
        <f>IF('Salesforce Dump'!A31&lt;&gt;"",'Salesforce Dump'!A31,"")</f>
        <v/>
      </c>
      <c r="B34" s="48"/>
      <c r="C34" s="49" t="str">
        <f>IF('Salesforce Dump'!B31&lt;&gt;"",'Salesforce Dump'!B31,"")</f>
        <v/>
      </c>
      <c r="D34" s="48"/>
      <c r="E34" s="50" t="str">
        <f>IF('Salesforce Dump'!C31&lt;&gt;"",'Salesforce Dump'!C31,"")</f>
        <v/>
      </c>
      <c r="F34" s="49" t="str">
        <f>IF('Salesforce Dump'!D31&lt;&gt;"",'Salesforce Dump'!D31,"")</f>
        <v/>
      </c>
      <c r="G34" s="49" t="str">
        <f>IF('Salesforce Dump'!E31&lt;&gt;"",'Salesforce Dump'!E31,"")</f>
        <v/>
      </c>
      <c r="H34" s="49" t="str">
        <f>IF('Salesforce Dump'!G31&lt;&gt;"",'Salesforce Dump'!G31,"")</f>
        <v/>
      </c>
      <c r="I34" s="49" t="str">
        <f>IF('Salesforce Dump'!H31&lt;&gt;"",'Salesforce Dump'!H31,"")</f>
        <v/>
      </c>
      <c r="J34" s="51" t="str">
        <f>IF('Salesforce Dump'!I31&lt;&gt;"",'Salesforce Dump'!I31,"")</f>
        <v/>
      </c>
      <c r="K34" s="51" t="str">
        <f>IF('Salesforce Dump'!J31&lt;&gt;"",'Salesforce Dump'!J31,"")</f>
        <v/>
      </c>
      <c r="L34" s="52" t="str">
        <f>IFERROR(INDEX('OBA Dump'!C:C,MATCH($E34*1,'OBA Dump'!$A:$A,0)),"")</f>
        <v/>
      </c>
      <c r="M34" s="52" t="str">
        <f>IFERROR(INDEX('OBA Dump'!D:D,MATCH($E34*1,'OBA Dump'!$A:$A,0)),"")</f>
        <v/>
      </c>
      <c r="N34" s="52"/>
      <c r="O34" s="52"/>
      <c r="P34" s="53"/>
      <c r="Q34" s="52"/>
      <c r="R34" s="38" t="str">
        <f>_xlfn.IFNA(VLOOKUP(E34,'Pre-Booked Holidays'!A:B,2,0),"")</f>
        <v/>
      </c>
      <c r="S34" s="38" t="str">
        <f>IF(E34="","",IF(IFERROR(VLOOKUP(E34,'Onbase Report'!D:E,2,0),"")&lt;&gt;"","Details in Onbase","No Details"))</f>
        <v/>
      </c>
    </row>
    <row r="35" spans="1:19" s="38" customFormat="1" ht="14.5" x14ac:dyDescent="0.35">
      <c r="A35" s="47" t="str">
        <f>IF('Salesforce Dump'!A32&lt;&gt;"",'Salesforce Dump'!A32,"")</f>
        <v/>
      </c>
      <c r="B35" s="48"/>
      <c r="C35" s="49" t="str">
        <f>IF('Salesforce Dump'!B32&lt;&gt;"",'Salesforce Dump'!B32,"")</f>
        <v/>
      </c>
      <c r="D35" s="48"/>
      <c r="E35" s="50" t="str">
        <f>IF('Salesforce Dump'!C32&lt;&gt;"",'Salesforce Dump'!C32,"")</f>
        <v/>
      </c>
      <c r="F35" s="49" t="str">
        <f>IF('Salesforce Dump'!D32&lt;&gt;"",'Salesforce Dump'!D32,"")</f>
        <v/>
      </c>
      <c r="G35" s="49" t="str">
        <f>IF('Salesforce Dump'!E32&lt;&gt;"",'Salesforce Dump'!E32,"")</f>
        <v/>
      </c>
      <c r="H35" s="49" t="str">
        <f>IF('Salesforce Dump'!G32&lt;&gt;"",'Salesforce Dump'!G32,"")</f>
        <v/>
      </c>
      <c r="I35" s="49" t="str">
        <f>IF('Salesforce Dump'!H32&lt;&gt;"",'Salesforce Dump'!H32,"")</f>
        <v/>
      </c>
      <c r="J35" s="51" t="str">
        <f>IF('Salesforce Dump'!I32&lt;&gt;"",'Salesforce Dump'!I32,"")</f>
        <v/>
      </c>
      <c r="K35" s="51" t="str">
        <f>IF('Salesforce Dump'!J32&lt;&gt;"",'Salesforce Dump'!J32,"")</f>
        <v/>
      </c>
      <c r="L35" s="52" t="str">
        <f>IFERROR(INDEX('OBA Dump'!C:C,MATCH($E35*1,'OBA Dump'!$A:$A,0)),"")</f>
        <v/>
      </c>
      <c r="M35" s="52" t="str">
        <f>IFERROR(INDEX('OBA Dump'!D:D,MATCH($E35*1,'OBA Dump'!$A:$A,0)),"")</f>
        <v/>
      </c>
      <c r="N35" s="52"/>
      <c r="O35" s="52"/>
      <c r="P35" s="53"/>
      <c r="Q35" s="52"/>
      <c r="R35" s="38" t="str">
        <f>_xlfn.IFNA(VLOOKUP(E35,'Pre-Booked Holidays'!A:B,2,0),"")</f>
        <v/>
      </c>
      <c r="S35" s="38" t="str">
        <f>IF(E35="","",IF(IFERROR(VLOOKUP(E35,'Onbase Report'!D:E,2,0),"")&lt;&gt;"","Details in Onbase","No Details"))</f>
        <v/>
      </c>
    </row>
    <row r="36" spans="1:19" s="38" customFormat="1" ht="14.5" x14ac:dyDescent="0.35">
      <c r="A36" s="47" t="str">
        <f>IF('Salesforce Dump'!A33&lt;&gt;"",'Salesforce Dump'!A33,"")</f>
        <v/>
      </c>
      <c r="B36" s="48"/>
      <c r="C36" s="49" t="str">
        <f>IF('Salesforce Dump'!B33&lt;&gt;"",'Salesforce Dump'!B33,"")</f>
        <v/>
      </c>
      <c r="D36" s="48"/>
      <c r="E36" s="50" t="str">
        <f>IF('Salesforce Dump'!C33&lt;&gt;"",'Salesforce Dump'!C33,"")</f>
        <v/>
      </c>
      <c r="F36" s="49" t="str">
        <f>IF('Salesforce Dump'!D33&lt;&gt;"",'Salesforce Dump'!D33,"")</f>
        <v/>
      </c>
      <c r="G36" s="49" t="str">
        <f>IF('Salesforce Dump'!E33&lt;&gt;"",'Salesforce Dump'!E33,"")</f>
        <v/>
      </c>
      <c r="H36" s="49" t="str">
        <f>IF('Salesforce Dump'!G33&lt;&gt;"",'Salesforce Dump'!G33,"")</f>
        <v/>
      </c>
      <c r="I36" s="49" t="str">
        <f>IF('Salesforce Dump'!H33&lt;&gt;"",'Salesforce Dump'!H33,"")</f>
        <v/>
      </c>
      <c r="J36" s="51" t="str">
        <f>IF('Salesforce Dump'!I33&lt;&gt;"",'Salesforce Dump'!I33,"")</f>
        <v/>
      </c>
      <c r="K36" s="51" t="str">
        <f>IF('Salesforce Dump'!J33&lt;&gt;"",'Salesforce Dump'!J33,"")</f>
        <v/>
      </c>
      <c r="L36" s="52" t="str">
        <f>IFERROR(INDEX('OBA Dump'!C:C,MATCH($E36*1,'OBA Dump'!$A:$A,0)),"")</f>
        <v/>
      </c>
      <c r="M36" s="52" t="str">
        <f>IFERROR(INDEX('OBA Dump'!D:D,MATCH($E36*1,'OBA Dump'!$A:$A,0)),"")</f>
        <v/>
      </c>
      <c r="N36" s="52"/>
      <c r="O36" s="52"/>
      <c r="P36" s="53"/>
      <c r="Q36" s="52"/>
      <c r="R36" s="38" t="str">
        <f>_xlfn.IFNA(VLOOKUP(E36,'Pre-Booked Holidays'!A:B,2,0),"")</f>
        <v/>
      </c>
      <c r="S36" s="38" t="str">
        <f>IF(E36="","",IF(IFERROR(VLOOKUP(E36,'Onbase Report'!D:E,2,0),"")&lt;&gt;"","Details in Onbase","No Details"))</f>
        <v/>
      </c>
    </row>
    <row r="37" spans="1:19" s="38" customFormat="1" ht="14.5" x14ac:dyDescent="0.35">
      <c r="A37" s="47" t="str">
        <f>IF('Salesforce Dump'!A34&lt;&gt;"",'Salesforce Dump'!A34,"")</f>
        <v/>
      </c>
      <c r="B37" s="48"/>
      <c r="C37" s="49" t="str">
        <f>IF('Salesforce Dump'!B34&lt;&gt;"",'Salesforce Dump'!B34,"")</f>
        <v/>
      </c>
      <c r="D37" s="48"/>
      <c r="E37" s="50" t="str">
        <f>IF('Salesforce Dump'!C34&lt;&gt;"",'Salesforce Dump'!C34,"")</f>
        <v/>
      </c>
      <c r="F37" s="49" t="str">
        <f>IF('Salesforce Dump'!D34&lt;&gt;"",'Salesforce Dump'!D34,"")</f>
        <v/>
      </c>
      <c r="G37" s="49" t="str">
        <f>IF('Salesforce Dump'!E34&lt;&gt;"",'Salesforce Dump'!E34,"")</f>
        <v/>
      </c>
      <c r="H37" s="49" t="str">
        <f>IF('Salesforce Dump'!G34&lt;&gt;"",'Salesforce Dump'!G34,"")</f>
        <v/>
      </c>
      <c r="I37" s="49" t="str">
        <f>IF('Salesforce Dump'!H34&lt;&gt;"",'Salesforce Dump'!H34,"")</f>
        <v/>
      </c>
      <c r="J37" s="51" t="str">
        <f>IF('Salesforce Dump'!I34&lt;&gt;"",'Salesforce Dump'!I34,"")</f>
        <v/>
      </c>
      <c r="K37" s="51" t="str">
        <f>IF('Salesforce Dump'!J34&lt;&gt;"",'Salesforce Dump'!J34,"")</f>
        <v/>
      </c>
      <c r="L37" s="52" t="str">
        <f>IFERROR(INDEX('OBA Dump'!C:C,MATCH($E37*1,'OBA Dump'!$A:$A,0)),"")</f>
        <v/>
      </c>
      <c r="M37" s="52" t="str">
        <f>IFERROR(INDEX('OBA Dump'!D:D,MATCH($E37*1,'OBA Dump'!$A:$A,0)),"")</f>
        <v/>
      </c>
      <c r="N37" s="52"/>
      <c r="O37" s="52"/>
      <c r="P37" s="53"/>
      <c r="Q37" s="52"/>
      <c r="R37" s="38" t="str">
        <f>_xlfn.IFNA(VLOOKUP(E37,'Pre-Booked Holidays'!A:B,2,0),"")</f>
        <v/>
      </c>
      <c r="S37" s="38" t="str">
        <f>IF(E37="","",IF(IFERROR(VLOOKUP(E37,'Onbase Report'!D:E,2,0),"")&lt;&gt;"","Details in Onbase","No Details"))</f>
        <v/>
      </c>
    </row>
    <row r="38" spans="1:19" s="38" customFormat="1" ht="14.5" x14ac:dyDescent="0.35">
      <c r="A38" s="47" t="str">
        <f>IF('Salesforce Dump'!A35&lt;&gt;"",'Salesforce Dump'!A35,"")</f>
        <v/>
      </c>
      <c r="B38" s="48"/>
      <c r="C38" s="49" t="str">
        <f>IF('Salesforce Dump'!B35&lt;&gt;"",'Salesforce Dump'!B35,"")</f>
        <v/>
      </c>
      <c r="D38" s="48"/>
      <c r="E38" s="50" t="str">
        <f>IF('Salesforce Dump'!C35&lt;&gt;"",'Salesforce Dump'!C35,"")</f>
        <v/>
      </c>
      <c r="F38" s="49" t="str">
        <f>IF('Salesforce Dump'!D35&lt;&gt;"",'Salesforce Dump'!D35,"")</f>
        <v/>
      </c>
      <c r="G38" s="49" t="str">
        <f>IF('Salesforce Dump'!E35&lt;&gt;"",'Salesforce Dump'!E35,"")</f>
        <v/>
      </c>
      <c r="H38" s="49" t="str">
        <f>IF('Salesforce Dump'!G35&lt;&gt;"",'Salesforce Dump'!G35,"")</f>
        <v/>
      </c>
      <c r="I38" s="49" t="str">
        <f>IF('Salesforce Dump'!H35&lt;&gt;"",'Salesforce Dump'!H35,"")</f>
        <v/>
      </c>
      <c r="J38" s="51" t="str">
        <f>IF('Salesforce Dump'!I35&lt;&gt;"",'Salesforce Dump'!I35,"")</f>
        <v/>
      </c>
      <c r="K38" s="51" t="str">
        <f>IF('Salesforce Dump'!J35&lt;&gt;"",'Salesforce Dump'!J35,"")</f>
        <v/>
      </c>
      <c r="L38" s="52" t="str">
        <f>IFERROR(INDEX('OBA Dump'!C:C,MATCH($E38*1,'OBA Dump'!$A:$A,0)),"")</f>
        <v/>
      </c>
      <c r="M38" s="52" t="str">
        <f>IFERROR(INDEX('OBA Dump'!D:D,MATCH($E38*1,'OBA Dump'!$A:$A,0)),"")</f>
        <v/>
      </c>
      <c r="N38" s="52"/>
      <c r="O38" s="52"/>
      <c r="P38" s="53"/>
      <c r="Q38" s="52"/>
      <c r="R38" s="38" t="str">
        <f>_xlfn.IFNA(VLOOKUP(E38,'Pre-Booked Holidays'!A:B,2,0),"")</f>
        <v/>
      </c>
      <c r="S38" s="38" t="str">
        <f>IF(E38="","",IF(IFERROR(VLOOKUP(E38,'Onbase Report'!D:E,2,0),"")&lt;&gt;"","Details in Onbase","No Details"))</f>
        <v/>
      </c>
    </row>
    <row r="39" spans="1:19" s="38" customFormat="1" ht="14.5" x14ac:dyDescent="0.35">
      <c r="A39" s="47" t="str">
        <f>IF('Salesforce Dump'!A36&lt;&gt;"",'Salesforce Dump'!A36,"")</f>
        <v/>
      </c>
      <c r="B39" s="48"/>
      <c r="C39" s="49" t="str">
        <f>IF('Salesforce Dump'!B36&lt;&gt;"",'Salesforce Dump'!B36,"")</f>
        <v/>
      </c>
      <c r="D39" s="48"/>
      <c r="E39" s="50" t="str">
        <f>IF('Salesforce Dump'!C36&lt;&gt;"",'Salesforce Dump'!C36,"")</f>
        <v/>
      </c>
      <c r="F39" s="49" t="str">
        <f>IF('Salesforce Dump'!D36&lt;&gt;"",'Salesforce Dump'!D36,"")</f>
        <v/>
      </c>
      <c r="G39" s="49" t="str">
        <f>IF('Salesforce Dump'!E36&lt;&gt;"",'Salesforce Dump'!E36,"")</f>
        <v/>
      </c>
      <c r="H39" s="49" t="str">
        <f>IF('Salesforce Dump'!G36&lt;&gt;"",'Salesforce Dump'!G36,"")</f>
        <v/>
      </c>
      <c r="I39" s="49" t="str">
        <f>IF('Salesforce Dump'!H36&lt;&gt;"",'Salesforce Dump'!H36,"")</f>
        <v/>
      </c>
      <c r="J39" s="51" t="str">
        <f>IF('Salesforce Dump'!I36&lt;&gt;"",'Salesforce Dump'!I36,"")</f>
        <v/>
      </c>
      <c r="K39" s="51" t="str">
        <f>IF('Salesforce Dump'!J36&lt;&gt;"",'Salesforce Dump'!J36,"")</f>
        <v/>
      </c>
      <c r="L39" s="52" t="str">
        <f>IFERROR(INDEX('OBA Dump'!C:C,MATCH($E39*1,'OBA Dump'!$A:$A,0)),"")</f>
        <v/>
      </c>
      <c r="M39" s="52" t="str">
        <f>IFERROR(INDEX('OBA Dump'!D:D,MATCH($E39*1,'OBA Dump'!$A:$A,0)),"")</f>
        <v/>
      </c>
      <c r="N39" s="52"/>
      <c r="O39" s="52"/>
      <c r="P39" s="53"/>
      <c r="Q39" s="52"/>
      <c r="R39" s="38" t="str">
        <f>_xlfn.IFNA(VLOOKUP(E39,'Pre-Booked Holidays'!A:B,2,0),"")</f>
        <v/>
      </c>
      <c r="S39" s="38" t="str">
        <f>IF(E39="","",IF(IFERROR(VLOOKUP(E39,'Onbase Report'!D:E,2,0),"")&lt;&gt;"","Details in Onbase","No Details"))</f>
        <v/>
      </c>
    </row>
    <row r="40" spans="1:19" s="38" customFormat="1" ht="14.5" x14ac:dyDescent="0.35">
      <c r="A40" s="47" t="str">
        <f>IF('Salesforce Dump'!A37&lt;&gt;"",'Salesforce Dump'!A37,"")</f>
        <v/>
      </c>
      <c r="B40" s="48"/>
      <c r="C40" s="49" t="str">
        <f>IF('Salesforce Dump'!B37&lt;&gt;"",'Salesforce Dump'!B37,"")</f>
        <v/>
      </c>
      <c r="D40" s="48"/>
      <c r="E40" s="50" t="str">
        <f>IF('Salesforce Dump'!C37&lt;&gt;"",'Salesforce Dump'!C37,"")</f>
        <v/>
      </c>
      <c r="F40" s="49" t="str">
        <f>IF('Salesforce Dump'!D37&lt;&gt;"",'Salesforce Dump'!D37,"")</f>
        <v/>
      </c>
      <c r="G40" s="49" t="str">
        <f>IF('Salesforce Dump'!E37&lt;&gt;"",'Salesforce Dump'!E37,"")</f>
        <v/>
      </c>
      <c r="H40" s="49" t="str">
        <f>IF('Salesforce Dump'!G37&lt;&gt;"",'Salesforce Dump'!G37,"")</f>
        <v/>
      </c>
      <c r="I40" s="49" t="str">
        <f>IF('Salesforce Dump'!H37&lt;&gt;"",'Salesforce Dump'!H37,"")</f>
        <v/>
      </c>
      <c r="J40" s="51" t="str">
        <f>IF('Salesforce Dump'!I37&lt;&gt;"",'Salesforce Dump'!I37,"")</f>
        <v/>
      </c>
      <c r="K40" s="51" t="str">
        <f>IF('Salesforce Dump'!J37&lt;&gt;"",'Salesforce Dump'!J37,"")</f>
        <v/>
      </c>
      <c r="L40" s="52" t="str">
        <f>IFERROR(INDEX('OBA Dump'!C:C,MATCH($E40*1,'OBA Dump'!$A:$A,0)),"")</f>
        <v/>
      </c>
      <c r="M40" s="52" t="str">
        <f>IFERROR(INDEX('OBA Dump'!D:D,MATCH($E40*1,'OBA Dump'!$A:$A,0)),"")</f>
        <v/>
      </c>
      <c r="N40" s="52"/>
      <c r="O40" s="52"/>
      <c r="P40" s="53"/>
      <c r="Q40" s="52"/>
      <c r="R40" s="38" t="str">
        <f>_xlfn.IFNA(VLOOKUP(E40,'Pre-Booked Holidays'!A:B,2,0),"")</f>
        <v/>
      </c>
      <c r="S40" s="38" t="str">
        <f>IF(E40="","",IF(IFERROR(VLOOKUP(E40,'Onbase Report'!D:E,2,0),"")&lt;&gt;"","Details in Onbase","No Details"))</f>
        <v/>
      </c>
    </row>
    <row r="41" spans="1:19" s="38" customFormat="1" ht="14.5" x14ac:dyDescent="0.35">
      <c r="A41" s="47" t="str">
        <f>IF('Salesforce Dump'!A38&lt;&gt;"",'Salesforce Dump'!A38,"")</f>
        <v/>
      </c>
      <c r="B41" s="48"/>
      <c r="C41" s="49" t="str">
        <f>IF('Salesforce Dump'!B38&lt;&gt;"",'Salesforce Dump'!B38,"")</f>
        <v/>
      </c>
      <c r="D41" s="48"/>
      <c r="E41" s="50" t="str">
        <f>IF('Salesforce Dump'!C38&lt;&gt;"",'Salesforce Dump'!C38,"")</f>
        <v/>
      </c>
      <c r="F41" s="49" t="str">
        <f>IF('Salesforce Dump'!D38&lt;&gt;"",'Salesforce Dump'!D38,"")</f>
        <v/>
      </c>
      <c r="G41" s="49" t="str">
        <f>IF('Salesforce Dump'!E38&lt;&gt;"",'Salesforce Dump'!E38,"")</f>
        <v/>
      </c>
      <c r="H41" s="49" t="str">
        <f>IF('Salesforce Dump'!G38&lt;&gt;"",'Salesforce Dump'!G38,"")</f>
        <v/>
      </c>
      <c r="I41" s="49" t="str">
        <f>IF('Salesforce Dump'!H38&lt;&gt;"",'Salesforce Dump'!H38,"")</f>
        <v/>
      </c>
      <c r="J41" s="51" t="str">
        <f>IF('Salesforce Dump'!I38&lt;&gt;"",'Salesforce Dump'!I38,"")</f>
        <v/>
      </c>
      <c r="K41" s="51" t="str">
        <f>IF('Salesforce Dump'!J38&lt;&gt;"",'Salesforce Dump'!J38,"")</f>
        <v/>
      </c>
      <c r="L41" s="52" t="str">
        <f>IFERROR(INDEX('OBA Dump'!C:C,MATCH($E41*1,'OBA Dump'!$A:$A,0)),"")</f>
        <v/>
      </c>
      <c r="M41" s="52" t="str">
        <f>IFERROR(INDEX('OBA Dump'!D:D,MATCH($E41*1,'OBA Dump'!$A:$A,0)),"")</f>
        <v/>
      </c>
      <c r="N41" s="52"/>
      <c r="O41" s="52"/>
      <c r="P41" s="53"/>
      <c r="Q41" s="52"/>
      <c r="R41" s="38" t="str">
        <f>_xlfn.IFNA(VLOOKUP(E41,'Pre-Booked Holidays'!A:B,2,0),"")</f>
        <v/>
      </c>
      <c r="S41" s="38" t="str">
        <f>IF(E41="","",IF(IFERROR(VLOOKUP(E41,'Onbase Report'!D:E,2,0),"")&lt;&gt;"","Details in Onbase","No Details"))</f>
        <v/>
      </c>
    </row>
    <row r="42" spans="1:19" s="38" customFormat="1" ht="14.5" x14ac:dyDescent="0.35">
      <c r="A42" s="47" t="str">
        <f>IF('Salesforce Dump'!A39&lt;&gt;"",'Salesforce Dump'!A39,"")</f>
        <v/>
      </c>
      <c r="B42" s="48"/>
      <c r="C42" s="49" t="str">
        <f>IF('Salesforce Dump'!B39&lt;&gt;"",'Salesforce Dump'!B39,"")</f>
        <v/>
      </c>
      <c r="D42" s="48"/>
      <c r="E42" s="50" t="str">
        <f>IF('Salesforce Dump'!C39&lt;&gt;"",'Salesforce Dump'!C39,"")</f>
        <v/>
      </c>
      <c r="F42" s="49" t="str">
        <f>IF('Salesforce Dump'!D39&lt;&gt;"",'Salesforce Dump'!D39,"")</f>
        <v/>
      </c>
      <c r="G42" s="49" t="str">
        <f>IF('Salesforce Dump'!E39&lt;&gt;"",'Salesforce Dump'!E39,"")</f>
        <v/>
      </c>
      <c r="H42" s="49" t="str">
        <f>IF('Salesforce Dump'!G39&lt;&gt;"",'Salesforce Dump'!G39,"")</f>
        <v/>
      </c>
      <c r="I42" s="49" t="str">
        <f>IF('Salesforce Dump'!H39&lt;&gt;"",'Salesforce Dump'!H39,"")</f>
        <v/>
      </c>
      <c r="J42" s="51" t="str">
        <f>IF('Salesforce Dump'!I39&lt;&gt;"",'Salesforce Dump'!I39,"")</f>
        <v/>
      </c>
      <c r="K42" s="51" t="str">
        <f>IF('Salesforce Dump'!J39&lt;&gt;"",'Salesforce Dump'!J39,"")</f>
        <v/>
      </c>
      <c r="L42" s="52" t="str">
        <f>IFERROR(INDEX('OBA Dump'!C:C,MATCH($E42*1,'OBA Dump'!$A:$A,0)),"")</f>
        <v/>
      </c>
      <c r="M42" s="52" t="str">
        <f>IFERROR(INDEX('OBA Dump'!D:D,MATCH($E42*1,'OBA Dump'!$A:$A,0)),"")</f>
        <v/>
      </c>
      <c r="N42" s="52"/>
      <c r="O42" s="52"/>
      <c r="P42" s="53"/>
      <c r="Q42" s="52"/>
      <c r="R42" s="38" t="str">
        <f>_xlfn.IFNA(VLOOKUP(E42,'Pre-Booked Holidays'!A:B,2,0),"")</f>
        <v/>
      </c>
      <c r="S42" s="38" t="str">
        <f>IF(E42="","",IF(IFERROR(VLOOKUP(E42,'Onbase Report'!D:E,2,0),"")&lt;&gt;"","Details in Onbase","No Details"))</f>
        <v/>
      </c>
    </row>
    <row r="43" spans="1:19" s="38" customFormat="1" ht="14.5" x14ac:dyDescent="0.35">
      <c r="A43" s="47" t="str">
        <f>IF('Salesforce Dump'!A40&lt;&gt;"",'Salesforce Dump'!A40,"")</f>
        <v/>
      </c>
      <c r="B43" s="48"/>
      <c r="C43" s="49" t="str">
        <f>IF('Salesforce Dump'!B40&lt;&gt;"",'Salesforce Dump'!B40,"")</f>
        <v/>
      </c>
      <c r="D43" s="48"/>
      <c r="E43" s="50" t="str">
        <f>IF('Salesforce Dump'!C40&lt;&gt;"",'Salesforce Dump'!C40,"")</f>
        <v/>
      </c>
      <c r="F43" s="49" t="str">
        <f>IF('Salesforce Dump'!D40&lt;&gt;"",'Salesforce Dump'!D40,"")</f>
        <v/>
      </c>
      <c r="G43" s="49" t="str">
        <f>IF('Salesforce Dump'!E40&lt;&gt;"",'Salesforce Dump'!E40,"")</f>
        <v/>
      </c>
      <c r="H43" s="49" t="str">
        <f>IF('Salesforce Dump'!G40&lt;&gt;"",'Salesforce Dump'!G40,"")</f>
        <v/>
      </c>
      <c r="I43" s="49" t="str">
        <f>IF('Salesforce Dump'!H40&lt;&gt;"",'Salesforce Dump'!H40,"")</f>
        <v/>
      </c>
      <c r="J43" s="51" t="str">
        <f>IF('Salesforce Dump'!I40&lt;&gt;"",'Salesforce Dump'!I40,"")</f>
        <v/>
      </c>
      <c r="K43" s="51" t="str">
        <f>IF('Salesforce Dump'!J40&lt;&gt;"",'Salesforce Dump'!J40,"")</f>
        <v/>
      </c>
      <c r="L43" s="52" t="str">
        <f>IFERROR(INDEX('OBA Dump'!C:C,MATCH($E43*1,'OBA Dump'!$A:$A,0)),"")</f>
        <v/>
      </c>
      <c r="M43" s="52" t="str">
        <f>IFERROR(INDEX('OBA Dump'!D:D,MATCH($E43*1,'OBA Dump'!$A:$A,0)),"")</f>
        <v/>
      </c>
      <c r="N43" s="52"/>
      <c r="O43" s="52"/>
      <c r="P43" s="53"/>
      <c r="Q43" s="52"/>
      <c r="R43" s="38" t="str">
        <f>_xlfn.IFNA(VLOOKUP(E43,'Pre-Booked Holidays'!A:B,2,0),"")</f>
        <v/>
      </c>
      <c r="S43" s="38" t="str">
        <f>IF(E43="","",IF(IFERROR(VLOOKUP(E43,'Onbase Report'!D:E,2,0),"")&lt;&gt;"","Details in Onbase","No Details"))</f>
        <v/>
      </c>
    </row>
    <row r="44" spans="1:19" s="38" customFormat="1" ht="14.5" x14ac:dyDescent="0.35">
      <c r="A44" s="47" t="str">
        <f>IF('Salesforce Dump'!A41&lt;&gt;"",'Salesforce Dump'!A41,"")</f>
        <v/>
      </c>
      <c r="B44" s="48"/>
      <c r="C44" s="49" t="str">
        <f>IF('Salesforce Dump'!B41&lt;&gt;"",'Salesforce Dump'!B41,"")</f>
        <v/>
      </c>
      <c r="D44" s="48"/>
      <c r="E44" s="50" t="str">
        <f>IF('Salesforce Dump'!C41&lt;&gt;"",'Salesforce Dump'!C41,"")</f>
        <v/>
      </c>
      <c r="F44" s="49" t="str">
        <f>IF('Salesforce Dump'!D41&lt;&gt;"",'Salesforce Dump'!D41,"")</f>
        <v/>
      </c>
      <c r="G44" s="49" t="str">
        <f>IF('Salesforce Dump'!E41&lt;&gt;"",'Salesforce Dump'!E41,"")</f>
        <v/>
      </c>
      <c r="H44" s="49" t="str">
        <f>IF('Salesforce Dump'!G41&lt;&gt;"",'Salesforce Dump'!G41,"")</f>
        <v/>
      </c>
      <c r="I44" s="49" t="str">
        <f>IF('Salesforce Dump'!H41&lt;&gt;"",'Salesforce Dump'!H41,"")</f>
        <v/>
      </c>
      <c r="J44" s="51" t="str">
        <f>IF('Salesforce Dump'!I41&lt;&gt;"",'Salesforce Dump'!I41,"")</f>
        <v/>
      </c>
      <c r="K44" s="51" t="str">
        <f>IF('Salesforce Dump'!J41&lt;&gt;"",'Salesforce Dump'!J41,"")</f>
        <v/>
      </c>
      <c r="L44" s="52" t="str">
        <f>IFERROR(INDEX('OBA Dump'!C:C,MATCH($E44*1,'OBA Dump'!$A:$A,0)),"")</f>
        <v/>
      </c>
      <c r="M44" s="52" t="str">
        <f>IFERROR(INDEX('OBA Dump'!D:D,MATCH($E44*1,'OBA Dump'!$A:$A,0)),"")</f>
        <v/>
      </c>
      <c r="N44" s="52"/>
      <c r="O44" s="52"/>
      <c r="P44" s="53"/>
      <c r="Q44" s="52"/>
      <c r="R44" s="38" t="str">
        <f>_xlfn.IFNA(VLOOKUP(E44,'Pre-Booked Holidays'!A:B,2,0),"")</f>
        <v/>
      </c>
      <c r="S44" s="38" t="str">
        <f>IF(E44="","",IF(IFERROR(VLOOKUP(E44,'Onbase Report'!D:E,2,0),"")&lt;&gt;"","Details in Onbase","No Details"))</f>
        <v/>
      </c>
    </row>
    <row r="45" spans="1:19" s="38" customFormat="1" ht="14.5" x14ac:dyDescent="0.35">
      <c r="A45" s="47" t="str">
        <f>IF('Salesforce Dump'!A42&lt;&gt;"",'Salesforce Dump'!A42,"")</f>
        <v/>
      </c>
      <c r="B45" s="48"/>
      <c r="C45" s="49" t="str">
        <f>IF('Salesforce Dump'!B42&lt;&gt;"",'Salesforce Dump'!B42,"")</f>
        <v/>
      </c>
      <c r="D45" s="48"/>
      <c r="E45" s="50" t="str">
        <f>IF('Salesforce Dump'!C42&lt;&gt;"",'Salesforce Dump'!C42,"")</f>
        <v/>
      </c>
      <c r="F45" s="49" t="str">
        <f>IF('Salesforce Dump'!D42&lt;&gt;"",'Salesforce Dump'!D42,"")</f>
        <v/>
      </c>
      <c r="G45" s="49" t="str">
        <f>IF('Salesforce Dump'!E42&lt;&gt;"",'Salesforce Dump'!E42,"")</f>
        <v/>
      </c>
      <c r="H45" s="49" t="str">
        <f>IF('Salesforce Dump'!G42&lt;&gt;"",'Salesforce Dump'!G42,"")</f>
        <v/>
      </c>
      <c r="I45" s="49" t="str">
        <f>IF('Salesforce Dump'!H42&lt;&gt;"",'Salesforce Dump'!H42,"")</f>
        <v/>
      </c>
      <c r="J45" s="51" t="str">
        <f>IF('Salesforce Dump'!I42&lt;&gt;"",'Salesforce Dump'!I42,"")</f>
        <v/>
      </c>
      <c r="K45" s="51" t="str">
        <f>IF('Salesforce Dump'!J42&lt;&gt;"",'Salesforce Dump'!J42,"")</f>
        <v/>
      </c>
      <c r="L45" s="52" t="str">
        <f>IFERROR(INDEX('OBA Dump'!C:C,MATCH($E45*1,'OBA Dump'!$A:$A,0)),"")</f>
        <v/>
      </c>
      <c r="M45" s="52" t="str">
        <f>IFERROR(INDEX('OBA Dump'!D:D,MATCH($E45*1,'OBA Dump'!$A:$A,0)),"")</f>
        <v/>
      </c>
      <c r="N45" s="52"/>
      <c r="O45" s="52"/>
      <c r="P45" s="53"/>
      <c r="Q45" s="52"/>
      <c r="R45" s="38" t="str">
        <f>_xlfn.IFNA(VLOOKUP(E45,'Pre-Booked Holidays'!A:B,2,0),"")</f>
        <v/>
      </c>
      <c r="S45" s="38" t="str">
        <f>IF(E45="","",IF(IFERROR(VLOOKUP(E45,'Onbase Report'!D:E,2,0),"")&lt;&gt;"","Details in Onbase","No Details"))</f>
        <v/>
      </c>
    </row>
    <row r="46" spans="1:19" s="38" customFormat="1" ht="14.5" x14ac:dyDescent="0.35">
      <c r="A46" s="47" t="str">
        <f>IF('Salesforce Dump'!A43&lt;&gt;"",'Salesforce Dump'!A43,"")</f>
        <v/>
      </c>
      <c r="B46" s="48"/>
      <c r="C46" s="49" t="str">
        <f>IF('Salesforce Dump'!B43&lt;&gt;"",'Salesforce Dump'!B43,"")</f>
        <v/>
      </c>
      <c r="D46" s="48"/>
      <c r="E46" s="50" t="str">
        <f>IF('Salesforce Dump'!C43&lt;&gt;"",'Salesforce Dump'!C43,"")</f>
        <v/>
      </c>
      <c r="F46" s="49" t="str">
        <f>IF('Salesforce Dump'!D43&lt;&gt;"",'Salesforce Dump'!D43,"")</f>
        <v/>
      </c>
      <c r="G46" s="49" t="str">
        <f>IF('Salesforce Dump'!E43&lt;&gt;"",'Salesforce Dump'!E43,"")</f>
        <v/>
      </c>
      <c r="H46" s="49" t="str">
        <f>IF('Salesforce Dump'!G43&lt;&gt;"",'Salesforce Dump'!G43,"")</f>
        <v/>
      </c>
      <c r="I46" s="49" t="str">
        <f>IF('Salesforce Dump'!H43&lt;&gt;"",'Salesforce Dump'!H43,"")</f>
        <v/>
      </c>
      <c r="J46" s="51" t="str">
        <f>IF('Salesforce Dump'!I43&lt;&gt;"",'Salesforce Dump'!I43,"")</f>
        <v/>
      </c>
      <c r="K46" s="51" t="str">
        <f>IF('Salesforce Dump'!J43&lt;&gt;"",'Salesforce Dump'!J43,"")</f>
        <v/>
      </c>
      <c r="L46" s="52" t="str">
        <f>IFERROR(INDEX('OBA Dump'!C:C,MATCH($E46*1,'OBA Dump'!$A:$A,0)),"")</f>
        <v/>
      </c>
      <c r="M46" s="52" t="str">
        <f>IFERROR(INDEX('OBA Dump'!D:D,MATCH($E46*1,'OBA Dump'!$A:$A,0)),"")</f>
        <v/>
      </c>
      <c r="N46" s="52"/>
      <c r="O46" s="52"/>
      <c r="P46" s="53"/>
      <c r="Q46" s="52"/>
      <c r="R46" s="38" t="str">
        <f>_xlfn.IFNA(VLOOKUP(E46,'Pre-Booked Holidays'!A:B,2,0),"")</f>
        <v/>
      </c>
      <c r="S46" s="38" t="str">
        <f>IF(E46="","",IF(IFERROR(VLOOKUP(E46,'Onbase Report'!D:E,2,0),"")&lt;&gt;"","Details in Onbase","No Details"))</f>
        <v/>
      </c>
    </row>
    <row r="47" spans="1:19" s="38" customFormat="1" ht="14.5" x14ac:dyDescent="0.35">
      <c r="A47" s="47" t="str">
        <f>IF('Salesforce Dump'!A44&lt;&gt;"",'Salesforce Dump'!A44,"")</f>
        <v/>
      </c>
      <c r="B47" s="48"/>
      <c r="C47" s="49" t="str">
        <f>IF('Salesforce Dump'!B44&lt;&gt;"",'Salesforce Dump'!B44,"")</f>
        <v/>
      </c>
      <c r="D47" s="48"/>
      <c r="E47" s="50" t="str">
        <f>IF('Salesforce Dump'!C44&lt;&gt;"",'Salesforce Dump'!C44,"")</f>
        <v/>
      </c>
      <c r="F47" s="49" t="str">
        <f>IF('Salesforce Dump'!D44&lt;&gt;"",'Salesforce Dump'!D44,"")</f>
        <v/>
      </c>
      <c r="G47" s="49" t="str">
        <f>IF('Salesforce Dump'!E44&lt;&gt;"",'Salesforce Dump'!E44,"")</f>
        <v/>
      </c>
      <c r="H47" s="49" t="str">
        <f>IF('Salesforce Dump'!G44&lt;&gt;"",'Salesforce Dump'!G44,"")</f>
        <v/>
      </c>
      <c r="I47" s="49" t="str">
        <f>IF('Salesforce Dump'!H44&lt;&gt;"",'Salesforce Dump'!H44,"")</f>
        <v/>
      </c>
      <c r="J47" s="51" t="str">
        <f>IF('Salesforce Dump'!I44&lt;&gt;"",'Salesforce Dump'!I44,"")</f>
        <v/>
      </c>
      <c r="K47" s="51" t="str">
        <f>IF('Salesforce Dump'!J44&lt;&gt;"",'Salesforce Dump'!J44,"")</f>
        <v/>
      </c>
      <c r="L47" s="52" t="str">
        <f>IFERROR(INDEX('OBA Dump'!C:C,MATCH($E47*1,'OBA Dump'!$A:$A,0)),"")</f>
        <v/>
      </c>
      <c r="M47" s="52" t="str">
        <f>IFERROR(INDEX('OBA Dump'!D:D,MATCH($E47*1,'OBA Dump'!$A:$A,0)),"")</f>
        <v/>
      </c>
      <c r="N47" s="52"/>
      <c r="O47" s="52"/>
      <c r="P47" s="53"/>
      <c r="Q47" s="52"/>
      <c r="R47" s="38" t="str">
        <f>_xlfn.IFNA(VLOOKUP(E47,'Pre-Booked Holidays'!A:B,2,0),"")</f>
        <v/>
      </c>
      <c r="S47" s="38" t="str">
        <f>IF(E47="","",IF(IFERROR(VLOOKUP(E47,'Onbase Report'!D:E,2,0),"")&lt;&gt;"","Details in Onbase","No Details"))</f>
        <v/>
      </c>
    </row>
    <row r="48" spans="1:19" s="38" customFormat="1" ht="14.5" x14ac:dyDescent="0.35">
      <c r="A48" s="47" t="str">
        <f>IF('Salesforce Dump'!A45&lt;&gt;"",'Salesforce Dump'!A45,"")</f>
        <v/>
      </c>
      <c r="B48" s="48"/>
      <c r="C48" s="49" t="str">
        <f>IF('Salesforce Dump'!B45&lt;&gt;"",'Salesforce Dump'!B45,"")</f>
        <v/>
      </c>
      <c r="D48" s="48"/>
      <c r="E48" s="50" t="str">
        <f>IF('Salesforce Dump'!C45&lt;&gt;"",'Salesforce Dump'!C45,"")</f>
        <v/>
      </c>
      <c r="F48" s="49" t="str">
        <f>IF('Salesforce Dump'!D45&lt;&gt;"",'Salesforce Dump'!D45,"")</f>
        <v/>
      </c>
      <c r="G48" s="49" t="str">
        <f>IF('Salesforce Dump'!E45&lt;&gt;"",'Salesforce Dump'!E45,"")</f>
        <v/>
      </c>
      <c r="H48" s="49" t="str">
        <f>IF('Salesforce Dump'!G45&lt;&gt;"",'Salesforce Dump'!G45,"")</f>
        <v/>
      </c>
      <c r="I48" s="49" t="str">
        <f>IF('Salesforce Dump'!H45&lt;&gt;"",'Salesforce Dump'!H45,"")</f>
        <v/>
      </c>
      <c r="J48" s="51" t="str">
        <f>IF('Salesforce Dump'!I45&lt;&gt;"",'Salesforce Dump'!I45,"")</f>
        <v/>
      </c>
      <c r="K48" s="51" t="str">
        <f>IF('Salesforce Dump'!J45&lt;&gt;"",'Salesforce Dump'!J45,"")</f>
        <v/>
      </c>
      <c r="L48" s="52" t="str">
        <f>IFERROR(INDEX('OBA Dump'!C:C,MATCH($E48*1,'OBA Dump'!$A:$A,0)),"")</f>
        <v/>
      </c>
      <c r="M48" s="52" t="str">
        <f>IFERROR(INDEX('OBA Dump'!D:D,MATCH($E48*1,'OBA Dump'!$A:$A,0)),"")</f>
        <v/>
      </c>
      <c r="N48" s="52"/>
      <c r="O48" s="52"/>
      <c r="P48" s="53"/>
      <c r="Q48" s="52"/>
      <c r="R48" s="38" t="str">
        <f>_xlfn.IFNA(VLOOKUP(E48,'Pre-Booked Holidays'!A:B,2,0),"")</f>
        <v/>
      </c>
      <c r="S48" s="38" t="str">
        <f>IF(E48="","",IF(IFERROR(VLOOKUP(E48,'Onbase Report'!D:E,2,0),"")&lt;&gt;"","Details in Onbase","No Details"))</f>
        <v/>
      </c>
    </row>
    <row r="49" spans="1:19" s="38" customFormat="1" ht="14.5" x14ac:dyDescent="0.35">
      <c r="A49" s="47" t="str">
        <f>IF('Salesforce Dump'!A46&lt;&gt;"",'Salesforce Dump'!A46,"")</f>
        <v/>
      </c>
      <c r="B49" s="48"/>
      <c r="C49" s="49" t="str">
        <f>IF('Salesforce Dump'!B46&lt;&gt;"",'Salesforce Dump'!B46,"")</f>
        <v/>
      </c>
      <c r="D49" s="48"/>
      <c r="E49" s="50" t="str">
        <f>IF('Salesforce Dump'!C46&lt;&gt;"",'Salesforce Dump'!C46,"")</f>
        <v/>
      </c>
      <c r="F49" s="49" t="str">
        <f>IF('Salesforce Dump'!D46&lt;&gt;"",'Salesforce Dump'!D46,"")</f>
        <v/>
      </c>
      <c r="G49" s="49" t="str">
        <f>IF('Salesforce Dump'!E46&lt;&gt;"",'Salesforce Dump'!E46,"")</f>
        <v/>
      </c>
      <c r="H49" s="49" t="str">
        <f>IF('Salesforce Dump'!G46&lt;&gt;"",'Salesforce Dump'!G46,"")</f>
        <v/>
      </c>
      <c r="I49" s="49" t="str">
        <f>IF('Salesforce Dump'!H46&lt;&gt;"",'Salesforce Dump'!H46,"")</f>
        <v/>
      </c>
      <c r="J49" s="51" t="str">
        <f>IF('Salesforce Dump'!I46&lt;&gt;"",'Salesforce Dump'!I46,"")</f>
        <v/>
      </c>
      <c r="K49" s="51" t="str">
        <f>IF('Salesforce Dump'!J46&lt;&gt;"",'Salesforce Dump'!J46,"")</f>
        <v/>
      </c>
      <c r="L49" s="52" t="str">
        <f>IFERROR(INDEX('OBA Dump'!C:C,MATCH($E49*1,'OBA Dump'!$A:$A,0)),"")</f>
        <v/>
      </c>
      <c r="M49" s="52" t="str">
        <f>IFERROR(INDEX('OBA Dump'!D:D,MATCH($E49*1,'OBA Dump'!$A:$A,0)),"")</f>
        <v/>
      </c>
      <c r="N49" s="52"/>
      <c r="O49" s="52"/>
      <c r="P49" s="53"/>
      <c r="Q49" s="52"/>
      <c r="R49" s="38" t="str">
        <f>_xlfn.IFNA(VLOOKUP(E49,'Pre-Booked Holidays'!A:B,2,0),"")</f>
        <v/>
      </c>
      <c r="S49" s="38" t="str">
        <f>IF(E49="","",IF(IFERROR(VLOOKUP(E49,'Onbase Report'!D:E,2,0),"")&lt;&gt;"","Details in Onbase","No Details"))</f>
        <v/>
      </c>
    </row>
    <row r="50" spans="1:19" s="38" customFormat="1" ht="14.5" x14ac:dyDescent="0.35">
      <c r="A50" s="47" t="str">
        <f>IF('Salesforce Dump'!A47&lt;&gt;"",'Salesforce Dump'!A47,"")</f>
        <v/>
      </c>
      <c r="B50" s="48"/>
      <c r="C50" s="49" t="str">
        <f>IF('Salesforce Dump'!B47&lt;&gt;"",'Salesforce Dump'!B47,"")</f>
        <v/>
      </c>
      <c r="D50" s="48"/>
      <c r="E50" s="50" t="str">
        <f>IF('Salesforce Dump'!C47&lt;&gt;"",'Salesforce Dump'!C47,"")</f>
        <v/>
      </c>
      <c r="F50" s="49" t="str">
        <f>IF('Salesforce Dump'!D47&lt;&gt;"",'Salesforce Dump'!D47,"")</f>
        <v/>
      </c>
      <c r="G50" s="49" t="str">
        <f>IF('Salesforce Dump'!E47&lt;&gt;"",'Salesforce Dump'!E47,"")</f>
        <v/>
      </c>
      <c r="H50" s="49" t="str">
        <f>IF('Salesforce Dump'!G47&lt;&gt;"",'Salesforce Dump'!G47,"")</f>
        <v/>
      </c>
      <c r="I50" s="49" t="str">
        <f>IF('Salesforce Dump'!H47&lt;&gt;"",'Salesforce Dump'!H47,"")</f>
        <v/>
      </c>
      <c r="J50" s="51" t="str">
        <f>IF('Salesforce Dump'!I47&lt;&gt;"",'Salesforce Dump'!I47,"")</f>
        <v/>
      </c>
      <c r="K50" s="51" t="str">
        <f>IF('Salesforce Dump'!J47&lt;&gt;"",'Salesforce Dump'!J47,"")</f>
        <v/>
      </c>
      <c r="L50" s="52" t="str">
        <f>IFERROR(INDEX('OBA Dump'!C:C,MATCH($E50*1,'OBA Dump'!$A:$A,0)),"")</f>
        <v/>
      </c>
      <c r="M50" s="52" t="str">
        <f>IFERROR(INDEX('OBA Dump'!D:D,MATCH($E50*1,'OBA Dump'!$A:$A,0)),"")</f>
        <v/>
      </c>
      <c r="N50" s="52"/>
      <c r="O50" s="52"/>
      <c r="P50" s="53"/>
      <c r="Q50" s="52"/>
      <c r="R50" s="38" t="str">
        <f>_xlfn.IFNA(VLOOKUP(E50,'Pre-Booked Holidays'!A:B,2,0),"")</f>
        <v/>
      </c>
      <c r="S50" s="38" t="str">
        <f>IF(E50="","",IF(IFERROR(VLOOKUP(E50,'Onbase Report'!D:E,2,0),"")&lt;&gt;"","Details in Onbase","No Details"))</f>
        <v/>
      </c>
    </row>
    <row r="51" spans="1:19" s="38" customFormat="1" ht="14.5" x14ac:dyDescent="0.35">
      <c r="A51" s="47" t="str">
        <f>IF('Salesforce Dump'!A48&lt;&gt;"",'Salesforce Dump'!A48,"")</f>
        <v/>
      </c>
      <c r="B51" s="48"/>
      <c r="C51" s="49" t="str">
        <f>IF('Salesforce Dump'!B48&lt;&gt;"",'Salesforce Dump'!B48,"")</f>
        <v/>
      </c>
      <c r="D51" s="48"/>
      <c r="E51" s="50" t="str">
        <f>IF('Salesforce Dump'!C48&lt;&gt;"",'Salesforce Dump'!C48,"")</f>
        <v/>
      </c>
      <c r="F51" s="49" t="str">
        <f>IF('Salesforce Dump'!D48&lt;&gt;"",'Salesforce Dump'!D48,"")</f>
        <v/>
      </c>
      <c r="G51" s="49" t="str">
        <f>IF('Salesforce Dump'!E48&lt;&gt;"",'Salesforce Dump'!E48,"")</f>
        <v/>
      </c>
      <c r="H51" s="49" t="str">
        <f>IF('Salesforce Dump'!G48&lt;&gt;"",'Salesforce Dump'!G48,"")</f>
        <v/>
      </c>
      <c r="I51" s="49" t="str">
        <f>IF('Salesforce Dump'!H48&lt;&gt;"",'Salesforce Dump'!H48,"")</f>
        <v/>
      </c>
      <c r="J51" s="51" t="str">
        <f>IF('Salesforce Dump'!I48&lt;&gt;"",'Salesforce Dump'!I48,"")</f>
        <v/>
      </c>
      <c r="K51" s="51" t="str">
        <f>IF('Salesforce Dump'!J48&lt;&gt;"",'Salesforce Dump'!J48,"")</f>
        <v/>
      </c>
      <c r="L51" s="52" t="str">
        <f>IFERROR(INDEX('OBA Dump'!C:C,MATCH($E51*1,'OBA Dump'!$A:$A,0)),"")</f>
        <v/>
      </c>
      <c r="M51" s="52" t="str">
        <f>IFERROR(INDEX('OBA Dump'!D:D,MATCH($E51*1,'OBA Dump'!$A:$A,0)),"")</f>
        <v/>
      </c>
      <c r="N51" s="52"/>
      <c r="O51" s="52"/>
      <c r="P51" s="53"/>
      <c r="Q51" s="52"/>
      <c r="R51" s="38" t="str">
        <f>_xlfn.IFNA(VLOOKUP(E51,'Pre-Booked Holidays'!A:B,2,0),"")</f>
        <v/>
      </c>
      <c r="S51" s="38" t="str">
        <f>IF(E51="","",IF(IFERROR(VLOOKUP(E51,'Onbase Report'!D:E,2,0),"")&lt;&gt;"","Details in Onbase","No Details"))</f>
        <v/>
      </c>
    </row>
    <row r="52" spans="1:19" s="38" customFormat="1" ht="14.5" x14ac:dyDescent="0.35">
      <c r="A52" s="47" t="str">
        <f>IF('Salesforce Dump'!A49&lt;&gt;"",'Salesforce Dump'!A49,"")</f>
        <v/>
      </c>
      <c r="B52" s="48"/>
      <c r="C52" s="49" t="str">
        <f>IF('Salesforce Dump'!B49&lt;&gt;"",'Salesforce Dump'!B49,"")</f>
        <v/>
      </c>
      <c r="D52" s="48"/>
      <c r="E52" s="50" t="str">
        <f>IF('Salesforce Dump'!C49&lt;&gt;"",'Salesforce Dump'!C49,"")</f>
        <v/>
      </c>
      <c r="F52" s="49" t="str">
        <f>IF('Salesforce Dump'!D49&lt;&gt;"",'Salesforce Dump'!D49,"")</f>
        <v/>
      </c>
      <c r="G52" s="49" t="str">
        <f>IF('Salesforce Dump'!E49&lt;&gt;"",'Salesforce Dump'!E49,"")</f>
        <v/>
      </c>
      <c r="H52" s="49" t="str">
        <f>IF('Salesforce Dump'!G49&lt;&gt;"",'Salesforce Dump'!G49,"")</f>
        <v/>
      </c>
      <c r="I52" s="49" t="str">
        <f>IF('Salesforce Dump'!H49&lt;&gt;"",'Salesforce Dump'!H49,"")</f>
        <v/>
      </c>
      <c r="J52" s="51" t="str">
        <f>IF('Salesforce Dump'!I49&lt;&gt;"",'Salesforce Dump'!I49,"")</f>
        <v/>
      </c>
      <c r="K52" s="51" t="str">
        <f>IF('Salesforce Dump'!J49&lt;&gt;"",'Salesforce Dump'!J49,"")</f>
        <v/>
      </c>
      <c r="L52" s="52" t="str">
        <f>IFERROR(INDEX('OBA Dump'!C:C,MATCH($E52*1,'OBA Dump'!$A:$A,0)),"")</f>
        <v/>
      </c>
      <c r="M52" s="52" t="str">
        <f>IFERROR(INDEX('OBA Dump'!D:D,MATCH($E52*1,'OBA Dump'!$A:$A,0)),"")</f>
        <v/>
      </c>
      <c r="N52" s="52"/>
      <c r="O52" s="52"/>
      <c r="P52" s="53"/>
      <c r="Q52" s="52"/>
      <c r="R52" s="38" t="str">
        <f>_xlfn.IFNA(VLOOKUP(E52,'Pre-Booked Holidays'!A:B,2,0),"")</f>
        <v/>
      </c>
      <c r="S52" s="38" t="str">
        <f>IF(E52="","",IF(IFERROR(VLOOKUP(E52,'Onbase Report'!D:E,2,0),"")&lt;&gt;"","Details in Onbase","No Details"))</f>
        <v/>
      </c>
    </row>
    <row r="53" spans="1:19" s="38" customFormat="1" ht="14.5" x14ac:dyDescent="0.35">
      <c r="A53" s="47" t="str">
        <f>IF('Salesforce Dump'!A50&lt;&gt;"",'Salesforce Dump'!A50,"")</f>
        <v/>
      </c>
      <c r="B53" s="48"/>
      <c r="C53" s="49" t="str">
        <f>IF('Salesforce Dump'!B50&lt;&gt;"",'Salesforce Dump'!B50,"")</f>
        <v/>
      </c>
      <c r="D53" s="48"/>
      <c r="E53" s="50" t="str">
        <f>IF('Salesforce Dump'!C50&lt;&gt;"",'Salesforce Dump'!C50,"")</f>
        <v/>
      </c>
      <c r="F53" s="49" t="str">
        <f>IF('Salesforce Dump'!D50&lt;&gt;"",'Salesforce Dump'!D50,"")</f>
        <v/>
      </c>
      <c r="G53" s="49" t="str">
        <f>IF('Salesforce Dump'!E50&lt;&gt;"",'Salesforce Dump'!E50,"")</f>
        <v/>
      </c>
      <c r="H53" s="49" t="str">
        <f>IF('Salesforce Dump'!G50&lt;&gt;"",'Salesforce Dump'!G50,"")</f>
        <v/>
      </c>
      <c r="I53" s="49" t="str">
        <f>IF('Salesforce Dump'!H50&lt;&gt;"",'Salesforce Dump'!H50,"")</f>
        <v/>
      </c>
      <c r="J53" s="51" t="str">
        <f>IF('Salesforce Dump'!I50&lt;&gt;"",'Salesforce Dump'!I50,"")</f>
        <v/>
      </c>
      <c r="K53" s="51" t="str">
        <f>IF('Salesforce Dump'!J50&lt;&gt;"",'Salesforce Dump'!J50,"")</f>
        <v/>
      </c>
      <c r="L53" s="52" t="str">
        <f>IFERROR(INDEX('OBA Dump'!C:C,MATCH($E53*1,'OBA Dump'!$A:$A,0)),"")</f>
        <v/>
      </c>
      <c r="M53" s="52" t="str">
        <f>IFERROR(INDEX('OBA Dump'!D:D,MATCH($E53*1,'OBA Dump'!$A:$A,0)),"")</f>
        <v/>
      </c>
      <c r="N53" s="52"/>
      <c r="O53" s="52"/>
      <c r="P53" s="53"/>
      <c r="Q53" s="52"/>
      <c r="R53" s="38" t="str">
        <f>_xlfn.IFNA(VLOOKUP(E53,'Pre-Booked Holidays'!A:B,2,0),"")</f>
        <v/>
      </c>
      <c r="S53" s="38" t="str">
        <f>IF(E53="","",IF(IFERROR(VLOOKUP(E53,'Onbase Report'!D:E,2,0),"")&lt;&gt;"","Details in Onbase","No Details"))</f>
        <v/>
      </c>
    </row>
    <row r="54" spans="1:19" s="38" customFormat="1" ht="14.5" x14ac:dyDescent="0.35">
      <c r="A54" s="47" t="str">
        <f>IF('Salesforce Dump'!A51&lt;&gt;"",'Salesforce Dump'!A51,"")</f>
        <v/>
      </c>
      <c r="B54" s="48"/>
      <c r="C54" s="49" t="str">
        <f>IF('Salesforce Dump'!B51&lt;&gt;"",'Salesforce Dump'!B51,"")</f>
        <v/>
      </c>
      <c r="D54" s="48"/>
      <c r="E54" s="50" t="str">
        <f>IF('Salesforce Dump'!C51&lt;&gt;"",'Salesforce Dump'!C51,"")</f>
        <v/>
      </c>
      <c r="F54" s="49" t="str">
        <f>IF('Salesforce Dump'!D51&lt;&gt;"",'Salesforce Dump'!D51,"")</f>
        <v/>
      </c>
      <c r="G54" s="49" t="str">
        <f>IF('Salesforce Dump'!E51&lt;&gt;"",'Salesforce Dump'!E51,"")</f>
        <v/>
      </c>
      <c r="H54" s="49" t="str">
        <f>IF('Salesforce Dump'!G51&lt;&gt;"",'Salesforce Dump'!G51,"")</f>
        <v/>
      </c>
      <c r="I54" s="49" t="str">
        <f>IF('Salesforce Dump'!H51&lt;&gt;"",'Salesforce Dump'!H51,"")</f>
        <v/>
      </c>
      <c r="J54" s="51" t="str">
        <f>IF('Salesforce Dump'!I51&lt;&gt;"",'Salesforce Dump'!I51,"")</f>
        <v/>
      </c>
      <c r="K54" s="51" t="str">
        <f>IF('Salesforce Dump'!J51&lt;&gt;"",'Salesforce Dump'!J51,"")</f>
        <v/>
      </c>
      <c r="L54" s="52" t="str">
        <f>IFERROR(INDEX('OBA Dump'!C:C,MATCH($E54*1,'OBA Dump'!$A:$A,0)),"")</f>
        <v/>
      </c>
      <c r="M54" s="52" t="str">
        <f>IFERROR(INDEX('OBA Dump'!D:D,MATCH($E54*1,'OBA Dump'!$A:$A,0)),"")</f>
        <v/>
      </c>
      <c r="N54" s="52"/>
      <c r="O54" s="52"/>
      <c r="P54" s="53"/>
      <c r="Q54" s="52"/>
      <c r="R54" s="38" t="str">
        <f>_xlfn.IFNA(VLOOKUP(E54,'Pre-Booked Holidays'!A:B,2,0),"")</f>
        <v/>
      </c>
      <c r="S54" s="38" t="str">
        <f>IF(E54="","",IF(IFERROR(VLOOKUP(E54,'Onbase Report'!D:E,2,0),"")&lt;&gt;"","Details in Onbase","No Details"))</f>
        <v/>
      </c>
    </row>
    <row r="55" spans="1:19" s="38" customFormat="1" ht="14.5" x14ac:dyDescent="0.35">
      <c r="A55" s="47" t="str">
        <f>IF('Salesforce Dump'!A52&lt;&gt;"",'Salesforce Dump'!A52,"")</f>
        <v/>
      </c>
      <c r="B55" s="48"/>
      <c r="C55" s="49" t="str">
        <f>IF('Salesforce Dump'!B52&lt;&gt;"",'Salesforce Dump'!B52,"")</f>
        <v/>
      </c>
      <c r="D55" s="48"/>
      <c r="E55" s="50" t="str">
        <f>IF('Salesforce Dump'!C52&lt;&gt;"",'Salesforce Dump'!C52,"")</f>
        <v/>
      </c>
      <c r="F55" s="49" t="str">
        <f>IF('Salesforce Dump'!D52&lt;&gt;"",'Salesforce Dump'!D52,"")</f>
        <v/>
      </c>
      <c r="G55" s="49" t="str">
        <f>IF('Salesforce Dump'!E52&lt;&gt;"",'Salesforce Dump'!E52,"")</f>
        <v/>
      </c>
      <c r="H55" s="49" t="str">
        <f>IF('Salesforce Dump'!G52&lt;&gt;"",'Salesforce Dump'!G52,"")</f>
        <v/>
      </c>
      <c r="I55" s="49" t="str">
        <f>IF('Salesforce Dump'!H52&lt;&gt;"",'Salesforce Dump'!H52,"")</f>
        <v/>
      </c>
      <c r="J55" s="51" t="str">
        <f>IF('Salesforce Dump'!I52&lt;&gt;"",'Salesforce Dump'!I52,"")</f>
        <v/>
      </c>
      <c r="K55" s="51" t="str">
        <f>IF('Salesforce Dump'!J52&lt;&gt;"",'Salesforce Dump'!J52,"")</f>
        <v/>
      </c>
      <c r="L55" s="52" t="str">
        <f>IFERROR(INDEX('OBA Dump'!C:C,MATCH($E55*1,'OBA Dump'!$A:$A,0)),"")</f>
        <v/>
      </c>
      <c r="M55" s="52" t="str">
        <f>IFERROR(INDEX('OBA Dump'!D:D,MATCH($E55*1,'OBA Dump'!$A:$A,0)),"")</f>
        <v/>
      </c>
      <c r="N55" s="52"/>
      <c r="O55" s="52"/>
      <c r="P55" s="53"/>
      <c r="Q55" s="52"/>
      <c r="R55" s="38" t="str">
        <f>_xlfn.IFNA(VLOOKUP(E55,'Pre-Booked Holidays'!A:B,2,0),"")</f>
        <v/>
      </c>
      <c r="S55" s="38" t="str">
        <f>IF(E55="","",IF(IFERROR(VLOOKUP(E55,'Onbase Report'!D:E,2,0),"")&lt;&gt;"","Details in Onbase","No Details"))</f>
        <v/>
      </c>
    </row>
    <row r="56" spans="1:19" s="38" customFormat="1" ht="14.5" x14ac:dyDescent="0.35">
      <c r="A56" s="47" t="str">
        <f>IF('Salesforce Dump'!A53&lt;&gt;"",'Salesforce Dump'!A53,"")</f>
        <v/>
      </c>
      <c r="B56" s="48"/>
      <c r="C56" s="49" t="str">
        <f>IF('Salesforce Dump'!B53&lt;&gt;"",'Salesforce Dump'!B53,"")</f>
        <v/>
      </c>
      <c r="D56" s="48"/>
      <c r="E56" s="50" t="str">
        <f>IF('Salesforce Dump'!C53&lt;&gt;"",'Salesforce Dump'!C53,"")</f>
        <v/>
      </c>
      <c r="F56" s="49" t="str">
        <f>IF('Salesforce Dump'!D53&lt;&gt;"",'Salesforce Dump'!D53,"")</f>
        <v/>
      </c>
      <c r="G56" s="49" t="str">
        <f>IF('Salesforce Dump'!E53&lt;&gt;"",'Salesforce Dump'!E53,"")</f>
        <v/>
      </c>
      <c r="H56" s="49" t="str">
        <f>IF('Salesforce Dump'!G53&lt;&gt;"",'Salesforce Dump'!G53,"")</f>
        <v/>
      </c>
      <c r="I56" s="49" t="str">
        <f>IF('Salesforce Dump'!H53&lt;&gt;"",'Salesforce Dump'!H53,"")</f>
        <v/>
      </c>
      <c r="J56" s="51" t="str">
        <f>IF('Salesforce Dump'!I53&lt;&gt;"",'Salesforce Dump'!I53,"")</f>
        <v/>
      </c>
      <c r="K56" s="51" t="str">
        <f>IF('Salesforce Dump'!J53&lt;&gt;"",'Salesforce Dump'!J53,"")</f>
        <v/>
      </c>
      <c r="L56" s="52" t="str">
        <f>IFERROR(INDEX('OBA Dump'!C:C,MATCH($E56*1,'OBA Dump'!$A:$A,0)),"")</f>
        <v/>
      </c>
      <c r="M56" s="52" t="str">
        <f>IFERROR(INDEX('OBA Dump'!D:D,MATCH($E56*1,'OBA Dump'!$A:$A,0)),"")</f>
        <v/>
      </c>
      <c r="N56" s="52"/>
      <c r="O56" s="52"/>
      <c r="P56" s="53"/>
      <c r="Q56" s="52"/>
      <c r="R56" s="38" t="str">
        <f>_xlfn.IFNA(VLOOKUP(E56,'Pre-Booked Holidays'!A:B,2,0),"")</f>
        <v/>
      </c>
      <c r="S56" s="38" t="str">
        <f>IF(E56="","",IF(IFERROR(VLOOKUP(E56,'Onbase Report'!D:E,2,0),"")&lt;&gt;"","Details in Onbase","No Details"))</f>
        <v/>
      </c>
    </row>
    <row r="57" spans="1:19" s="38" customFormat="1" ht="14.5" x14ac:dyDescent="0.35">
      <c r="A57" s="47" t="str">
        <f>IF('Salesforce Dump'!A54&lt;&gt;"",'Salesforce Dump'!A54,"")</f>
        <v/>
      </c>
      <c r="B57" s="48"/>
      <c r="C57" s="49" t="str">
        <f>IF('Salesforce Dump'!B54&lt;&gt;"",'Salesforce Dump'!B54,"")</f>
        <v/>
      </c>
      <c r="D57" s="48"/>
      <c r="E57" s="50" t="str">
        <f>IF('Salesforce Dump'!C54&lt;&gt;"",'Salesforce Dump'!C54,"")</f>
        <v/>
      </c>
      <c r="F57" s="49" t="str">
        <f>IF('Salesforce Dump'!D54&lt;&gt;"",'Salesforce Dump'!D54,"")</f>
        <v/>
      </c>
      <c r="G57" s="49" t="str">
        <f>IF('Salesforce Dump'!E54&lt;&gt;"",'Salesforce Dump'!E54,"")</f>
        <v/>
      </c>
      <c r="H57" s="49" t="str">
        <f>IF('Salesforce Dump'!G54&lt;&gt;"",'Salesforce Dump'!G54,"")</f>
        <v/>
      </c>
      <c r="I57" s="49" t="str">
        <f>IF('Salesforce Dump'!H54&lt;&gt;"",'Salesforce Dump'!H54,"")</f>
        <v/>
      </c>
      <c r="J57" s="51" t="str">
        <f>IF('Salesforce Dump'!I54&lt;&gt;"",'Salesforce Dump'!I54,"")</f>
        <v/>
      </c>
      <c r="K57" s="51" t="str">
        <f>IF('Salesforce Dump'!J54&lt;&gt;"",'Salesforce Dump'!J54,"")</f>
        <v/>
      </c>
      <c r="L57" s="52" t="str">
        <f>IFERROR(INDEX('OBA Dump'!C:C,MATCH($E57*1,'OBA Dump'!$A:$A,0)),"")</f>
        <v/>
      </c>
      <c r="M57" s="52" t="str">
        <f>IFERROR(INDEX('OBA Dump'!D:D,MATCH($E57*1,'OBA Dump'!$A:$A,0)),"")</f>
        <v/>
      </c>
      <c r="N57" s="52"/>
      <c r="O57" s="52"/>
      <c r="P57" s="53"/>
      <c r="Q57" s="52"/>
      <c r="R57" s="38" t="str">
        <f>_xlfn.IFNA(VLOOKUP(E57,'Pre-Booked Holidays'!A:B,2,0),"")</f>
        <v/>
      </c>
      <c r="S57" s="38" t="str">
        <f>IF(E57="","",IF(IFERROR(VLOOKUP(E57,'Onbase Report'!D:E,2,0),"")&lt;&gt;"","Details in Onbase","No Details"))</f>
        <v/>
      </c>
    </row>
    <row r="58" spans="1:19" s="38" customFormat="1" ht="14.5" x14ac:dyDescent="0.35">
      <c r="A58" s="47" t="str">
        <f>IF('Salesforce Dump'!A55&lt;&gt;"",'Salesforce Dump'!A55,"")</f>
        <v/>
      </c>
      <c r="B58" s="48"/>
      <c r="C58" s="49" t="str">
        <f>IF('Salesforce Dump'!B55&lt;&gt;"",'Salesforce Dump'!B55,"")</f>
        <v/>
      </c>
      <c r="D58" s="48"/>
      <c r="E58" s="50" t="str">
        <f>IF('Salesforce Dump'!C55&lt;&gt;"",'Salesforce Dump'!C55,"")</f>
        <v/>
      </c>
      <c r="F58" s="49" t="str">
        <f>IF('Salesforce Dump'!D55&lt;&gt;"",'Salesforce Dump'!D55,"")</f>
        <v/>
      </c>
      <c r="G58" s="49" t="str">
        <f>IF('Salesforce Dump'!E55&lt;&gt;"",'Salesforce Dump'!E55,"")</f>
        <v/>
      </c>
      <c r="H58" s="49" t="str">
        <f>IF('Salesforce Dump'!G55&lt;&gt;"",'Salesforce Dump'!G55,"")</f>
        <v/>
      </c>
      <c r="I58" s="49" t="str">
        <f>IF('Salesforce Dump'!H55&lt;&gt;"",'Salesforce Dump'!H55,"")</f>
        <v/>
      </c>
      <c r="J58" s="51" t="str">
        <f>IF('Salesforce Dump'!I55&lt;&gt;"",'Salesforce Dump'!I55,"")</f>
        <v/>
      </c>
      <c r="K58" s="51" t="str">
        <f>IF('Salesforce Dump'!J55&lt;&gt;"",'Salesforce Dump'!J55,"")</f>
        <v/>
      </c>
      <c r="L58" s="52" t="str">
        <f>IFERROR(INDEX('OBA Dump'!C:C,MATCH($E58*1,'OBA Dump'!$A:$A,0)),"")</f>
        <v/>
      </c>
      <c r="M58" s="52" t="str">
        <f>IFERROR(INDEX('OBA Dump'!D:D,MATCH($E58*1,'OBA Dump'!$A:$A,0)),"")</f>
        <v/>
      </c>
      <c r="N58" s="52"/>
      <c r="O58" s="52"/>
      <c r="P58" s="53"/>
      <c r="Q58" s="52"/>
      <c r="R58" s="38" t="str">
        <f>_xlfn.IFNA(VLOOKUP(E58,'Pre-Booked Holidays'!A:B,2,0),"")</f>
        <v/>
      </c>
      <c r="S58" s="38" t="str">
        <f>IF(E58="","",IF(IFERROR(VLOOKUP(E58,'Onbase Report'!D:E,2,0),"")&lt;&gt;"","Details in Onbase","No Details"))</f>
        <v/>
      </c>
    </row>
    <row r="59" spans="1:19" s="38" customFormat="1" ht="14.5" x14ac:dyDescent="0.35">
      <c r="A59" s="47" t="str">
        <f>IF('Salesforce Dump'!A56&lt;&gt;"",'Salesforce Dump'!A56,"")</f>
        <v/>
      </c>
      <c r="B59" s="48"/>
      <c r="C59" s="49" t="str">
        <f>IF('Salesforce Dump'!B56&lt;&gt;"",'Salesforce Dump'!B56,"")</f>
        <v/>
      </c>
      <c r="D59" s="48"/>
      <c r="E59" s="50" t="str">
        <f>IF('Salesforce Dump'!C56&lt;&gt;"",'Salesforce Dump'!C56,"")</f>
        <v/>
      </c>
      <c r="F59" s="49" t="str">
        <f>IF('Salesforce Dump'!D56&lt;&gt;"",'Salesforce Dump'!D56,"")</f>
        <v/>
      </c>
      <c r="G59" s="49" t="str">
        <f>IF('Salesforce Dump'!E56&lt;&gt;"",'Salesforce Dump'!E56,"")</f>
        <v/>
      </c>
      <c r="H59" s="49" t="str">
        <f>IF('Salesforce Dump'!G56&lt;&gt;"",'Salesforce Dump'!G56,"")</f>
        <v/>
      </c>
      <c r="I59" s="49" t="str">
        <f>IF('Salesforce Dump'!H56&lt;&gt;"",'Salesforce Dump'!H56,"")</f>
        <v/>
      </c>
      <c r="J59" s="51" t="str">
        <f>IF('Salesforce Dump'!I56&lt;&gt;"",'Salesforce Dump'!I56,"")</f>
        <v/>
      </c>
      <c r="K59" s="51" t="str">
        <f>IF('Salesforce Dump'!J56&lt;&gt;"",'Salesforce Dump'!J56,"")</f>
        <v/>
      </c>
      <c r="L59" s="52" t="str">
        <f>IFERROR(INDEX('OBA Dump'!C:C,MATCH($E59*1,'OBA Dump'!$A:$A,0)),"")</f>
        <v/>
      </c>
      <c r="M59" s="52" t="str">
        <f>IFERROR(INDEX('OBA Dump'!D:D,MATCH($E59*1,'OBA Dump'!$A:$A,0)),"")</f>
        <v/>
      </c>
      <c r="N59" s="52"/>
      <c r="O59" s="52"/>
      <c r="P59" s="53"/>
      <c r="Q59" s="52"/>
      <c r="R59" s="38" t="str">
        <f>_xlfn.IFNA(VLOOKUP(E59,'Pre-Booked Holidays'!A:B,2,0),"")</f>
        <v/>
      </c>
      <c r="S59" s="38" t="str">
        <f>IF(E59="","",IF(IFERROR(VLOOKUP(E59,'Onbase Report'!D:E,2,0),"")&lt;&gt;"","Details in Onbase","No Details"))</f>
        <v/>
      </c>
    </row>
    <row r="60" spans="1:19" s="38" customFormat="1" ht="14.5" x14ac:dyDescent="0.35">
      <c r="A60" s="47" t="str">
        <f>IF('Salesforce Dump'!A57&lt;&gt;"",'Salesforce Dump'!A57,"")</f>
        <v/>
      </c>
      <c r="B60" s="48"/>
      <c r="C60" s="49" t="str">
        <f>IF('Salesforce Dump'!B57&lt;&gt;"",'Salesforce Dump'!B57,"")</f>
        <v/>
      </c>
      <c r="D60" s="48"/>
      <c r="E60" s="50" t="str">
        <f>IF('Salesforce Dump'!C57&lt;&gt;"",'Salesforce Dump'!C57,"")</f>
        <v/>
      </c>
      <c r="F60" s="49" t="str">
        <f>IF('Salesforce Dump'!D57&lt;&gt;"",'Salesforce Dump'!D57,"")</f>
        <v/>
      </c>
      <c r="G60" s="49" t="str">
        <f>IF('Salesforce Dump'!E57&lt;&gt;"",'Salesforce Dump'!E57,"")</f>
        <v/>
      </c>
      <c r="H60" s="49" t="str">
        <f>IF('Salesforce Dump'!G57&lt;&gt;"",'Salesforce Dump'!G57,"")</f>
        <v/>
      </c>
      <c r="I60" s="49" t="str">
        <f>IF('Salesforce Dump'!H57&lt;&gt;"",'Salesforce Dump'!H57,"")</f>
        <v/>
      </c>
      <c r="J60" s="51" t="str">
        <f>IF('Salesforce Dump'!I57&lt;&gt;"",'Salesforce Dump'!I57,"")</f>
        <v/>
      </c>
      <c r="K60" s="51" t="str">
        <f>IF('Salesforce Dump'!J57&lt;&gt;"",'Salesforce Dump'!J57,"")</f>
        <v/>
      </c>
      <c r="L60" s="52" t="str">
        <f>IFERROR(INDEX('OBA Dump'!C:C,MATCH($E60*1,'OBA Dump'!$A:$A,0)),"")</f>
        <v/>
      </c>
      <c r="M60" s="52" t="str">
        <f>IFERROR(INDEX('OBA Dump'!D:D,MATCH($E60*1,'OBA Dump'!$A:$A,0)),"")</f>
        <v/>
      </c>
      <c r="N60" s="52"/>
      <c r="O60" s="52"/>
      <c r="P60" s="53"/>
      <c r="Q60" s="52"/>
      <c r="R60" s="38" t="str">
        <f>_xlfn.IFNA(VLOOKUP(E60,'Pre-Booked Holidays'!A:B,2,0),"")</f>
        <v/>
      </c>
      <c r="S60" s="38" t="str">
        <f>IF(E60="","",IF(IFERROR(VLOOKUP(E60,'Onbase Report'!D:E,2,0),"")&lt;&gt;"","Details in Onbase","No Details"))</f>
        <v/>
      </c>
    </row>
    <row r="61" spans="1:19" s="38" customFormat="1" ht="14.5" x14ac:dyDescent="0.35">
      <c r="A61" s="47" t="str">
        <f>IF('Salesforce Dump'!A58&lt;&gt;"",'Salesforce Dump'!A58,"")</f>
        <v/>
      </c>
      <c r="B61" s="48"/>
      <c r="C61" s="49" t="str">
        <f>IF('Salesforce Dump'!B58&lt;&gt;"",'Salesforce Dump'!B58,"")</f>
        <v/>
      </c>
      <c r="D61" s="48"/>
      <c r="E61" s="50" t="str">
        <f>IF('Salesforce Dump'!C58&lt;&gt;"",'Salesforce Dump'!C58,"")</f>
        <v/>
      </c>
      <c r="F61" s="49" t="str">
        <f>IF('Salesforce Dump'!D58&lt;&gt;"",'Salesforce Dump'!D58,"")</f>
        <v/>
      </c>
      <c r="G61" s="49" t="str">
        <f>IF('Salesforce Dump'!E58&lt;&gt;"",'Salesforce Dump'!E58,"")</f>
        <v/>
      </c>
      <c r="H61" s="49" t="str">
        <f>IF('Salesforce Dump'!G58&lt;&gt;"",'Salesforce Dump'!G58,"")</f>
        <v/>
      </c>
      <c r="I61" s="49" t="str">
        <f>IF('Salesforce Dump'!H58&lt;&gt;"",'Salesforce Dump'!H58,"")</f>
        <v/>
      </c>
      <c r="J61" s="51" t="str">
        <f>IF('Salesforce Dump'!I58&lt;&gt;"",'Salesforce Dump'!I58,"")</f>
        <v/>
      </c>
      <c r="K61" s="51" t="str">
        <f>IF('Salesforce Dump'!J58&lt;&gt;"",'Salesforce Dump'!J58,"")</f>
        <v/>
      </c>
      <c r="L61" s="52" t="str">
        <f>IFERROR(INDEX('OBA Dump'!C:C,MATCH($E61*1,'OBA Dump'!$A:$A,0)),"")</f>
        <v/>
      </c>
      <c r="M61" s="52" t="str">
        <f>IFERROR(INDEX('OBA Dump'!D:D,MATCH($E61*1,'OBA Dump'!$A:$A,0)),"")</f>
        <v/>
      </c>
      <c r="N61" s="52"/>
      <c r="O61" s="52"/>
      <c r="P61" s="53"/>
      <c r="Q61" s="52"/>
      <c r="R61" s="38" t="str">
        <f>_xlfn.IFNA(VLOOKUP(E61,'Pre-Booked Holidays'!A:B,2,0),"")</f>
        <v/>
      </c>
      <c r="S61" s="38" t="str">
        <f>IF(E61="","",IF(IFERROR(VLOOKUP(E61,'Onbase Report'!D:E,2,0),"")&lt;&gt;"","Details in Onbase","No Details"))</f>
        <v/>
      </c>
    </row>
    <row r="62" spans="1:19" s="38" customFormat="1" ht="14.5" x14ac:dyDescent="0.35">
      <c r="A62" s="47" t="str">
        <f>IF('Salesforce Dump'!A59&lt;&gt;"",'Salesforce Dump'!A59,"")</f>
        <v/>
      </c>
      <c r="B62" s="48"/>
      <c r="C62" s="49" t="str">
        <f>IF('Salesforce Dump'!B59&lt;&gt;"",'Salesforce Dump'!B59,"")</f>
        <v/>
      </c>
      <c r="D62" s="48"/>
      <c r="E62" s="50" t="str">
        <f>IF('Salesforce Dump'!C59&lt;&gt;"",'Salesforce Dump'!C59,"")</f>
        <v/>
      </c>
      <c r="F62" s="49" t="str">
        <f>IF('Salesforce Dump'!D59&lt;&gt;"",'Salesforce Dump'!D59,"")</f>
        <v/>
      </c>
      <c r="G62" s="49" t="str">
        <f>IF('Salesforce Dump'!E59&lt;&gt;"",'Salesforce Dump'!E59,"")</f>
        <v/>
      </c>
      <c r="H62" s="49" t="str">
        <f>IF('Salesforce Dump'!G59&lt;&gt;"",'Salesforce Dump'!G59,"")</f>
        <v/>
      </c>
      <c r="I62" s="49" t="str">
        <f>IF('Salesforce Dump'!H59&lt;&gt;"",'Salesforce Dump'!H59,"")</f>
        <v/>
      </c>
      <c r="J62" s="51" t="str">
        <f>IF('Salesforce Dump'!I59&lt;&gt;"",'Salesforce Dump'!I59,"")</f>
        <v/>
      </c>
      <c r="K62" s="51" t="str">
        <f>IF('Salesforce Dump'!J59&lt;&gt;"",'Salesforce Dump'!J59,"")</f>
        <v/>
      </c>
      <c r="L62" s="52" t="str">
        <f>IFERROR(INDEX('OBA Dump'!C:C,MATCH($E62*1,'OBA Dump'!$A:$A,0)),"")</f>
        <v/>
      </c>
      <c r="M62" s="52" t="str">
        <f>IFERROR(INDEX('OBA Dump'!D:D,MATCH($E62*1,'OBA Dump'!$A:$A,0)),"")</f>
        <v/>
      </c>
      <c r="N62" s="52"/>
      <c r="O62" s="52"/>
      <c r="P62" s="53"/>
      <c r="Q62" s="52"/>
      <c r="R62" s="38" t="str">
        <f>_xlfn.IFNA(VLOOKUP(E62,'Pre-Booked Holidays'!A:B,2,0),"")</f>
        <v/>
      </c>
      <c r="S62" s="38" t="str">
        <f>IF(E62="","",IF(IFERROR(VLOOKUP(E62,'Onbase Report'!D:E,2,0),"")&lt;&gt;"","Details in Onbase","No Details"))</f>
        <v/>
      </c>
    </row>
    <row r="63" spans="1:19" s="38" customFormat="1" ht="14.5" x14ac:dyDescent="0.35">
      <c r="A63" s="47" t="str">
        <f>IF('Salesforce Dump'!A60&lt;&gt;"",'Salesforce Dump'!A60,"")</f>
        <v/>
      </c>
      <c r="B63" s="48"/>
      <c r="C63" s="49" t="str">
        <f>IF('Salesforce Dump'!B60&lt;&gt;"",'Salesforce Dump'!B60,"")</f>
        <v/>
      </c>
      <c r="D63" s="48"/>
      <c r="E63" s="50" t="str">
        <f>IF('Salesforce Dump'!C60&lt;&gt;"",'Salesforce Dump'!C60,"")</f>
        <v/>
      </c>
      <c r="F63" s="49" t="str">
        <f>IF('Salesforce Dump'!D60&lt;&gt;"",'Salesforce Dump'!D60,"")</f>
        <v/>
      </c>
      <c r="G63" s="49" t="str">
        <f>IF('Salesforce Dump'!E60&lt;&gt;"",'Salesforce Dump'!E60,"")</f>
        <v/>
      </c>
      <c r="H63" s="49" t="str">
        <f>IF('Salesforce Dump'!G60&lt;&gt;"",'Salesforce Dump'!G60,"")</f>
        <v/>
      </c>
      <c r="I63" s="49" t="str">
        <f>IF('Salesforce Dump'!H60&lt;&gt;"",'Salesforce Dump'!H60,"")</f>
        <v/>
      </c>
      <c r="J63" s="51" t="str">
        <f>IF('Salesforce Dump'!I60&lt;&gt;"",'Salesforce Dump'!I60,"")</f>
        <v/>
      </c>
      <c r="K63" s="51" t="str">
        <f>IF('Salesforce Dump'!J60&lt;&gt;"",'Salesforce Dump'!J60,"")</f>
        <v/>
      </c>
      <c r="L63" s="52" t="str">
        <f>IFERROR(INDEX('OBA Dump'!C:C,MATCH($E63*1,'OBA Dump'!$A:$A,0)),"")</f>
        <v/>
      </c>
      <c r="M63" s="52" t="str">
        <f>IFERROR(INDEX('OBA Dump'!D:D,MATCH($E63*1,'OBA Dump'!$A:$A,0)),"")</f>
        <v/>
      </c>
      <c r="N63" s="52"/>
      <c r="O63" s="52"/>
      <c r="P63" s="53"/>
      <c r="Q63" s="52"/>
      <c r="R63" s="38" t="str">
        <f>_xlfn.IFNA(VLOOKUP(E63,'Pre-Booked Holidays'!A:B,2,0),"")</f>
        <v/>
      </c>
      <c r="S63" s="38" t="str">
        <f>IF(E63="","",IF(IFERROR(VLOOKUP(E63,'Onbase Report'!D:E,2,0),"")&lt;&gt;"","Details in Onbase","No Details"))</f>
        <v/>
      </c>
    </row>
    <row r="64" spans="1:19" s="38" customFormat="1" ht="14.5" x14ac:dyDescent="0.35">
      <c r="A64" s="47" t="str">
        <f>IF('Salesforce Dump'!A61&lt;&gt;"",'Salesforce Dump'!A61,"")</f>
        <v/>
      </c>
      <c r="B64" s="48"/>
      <c r="C64" s="49" t="str">
        <f>IF('Salesforce Dump'!B61&lt;&gt;"",'Salesforce Dump'!B61,"")</f>
        <v/>
      </c>
      <c r="D64" s="48"/>
      <c r="E64" s="50" t="str">
        <f>IF('Salesforce Dump'!C61&lt;&gt;"",'Salesforce Dump'!C61,"")</f>
        <v/>
      </c>
      <c r="F64" s="49" t="str">
        <f>IF('Salesforce Dump'!D61&lt;&gt;"",'Salesforce Dump'!D61,"")</f>
        <v/>
      </c>
      <c r="G64" s="49" t="str">
        <f>IF('Salesforce Dump'!E61&lt;&gt;"",'Salesforce Dump'!E61,"")</f>
        <v/>
      </c>
      <c r="H64" s="49" t="str">
        <f>IF('Salesforce Dump'!G61&lt;&gt;"",'Salesforce Dump'!G61,"")</f>
        <v/>
      </c>
      <c r="I64" s="49" t="str">
        <f>IF('Salesforce Dump'!H61&lt;&gt;"",'Salesforce Dump'!H61,"")</f>
        <v/>
      </c>
      <c r="J64" s="51" t="str">
        <f>IF('Salesforce Dump'!I61&lt;&gt;"",'Salesforce Dump'!I61,"")</f>
        <v/>
      </c>
      <c r="K64" s="51" t="str">
        <f>IF('Salesforce Dump'!J61&lt;&gt;"",'Salesforce Dump'!J61,"")</f>
        <v/>
      </c>
      <c r="L64" s="52" t="str">
        <f>IFERROR(INDEX('OBA Dump'!C:C,MATCH($E64*1,'OBA Dump'!$A:$A,0)),"")</f>
        <v/>
      </c>
      <c r="M64" s="52" t="str">
        <f>IFERROR(INDEX('OBA Dump'!D:D,MATCH($E64*1,'OBA Dump'!$A:$A,0)),"")</f>
        <v/>
      </c>
      <c r="N64" s="52"/>
      <c r="O64" s="52"/>
      <c r="P64" s="53"/>
      <c r="Q64" s="52"/>
      <c r="R64" s="38" t="str">
        <f>_xlfn.IFNA(VLOOKUP(E64,'Pre-Booked Holidays'!A:B,2,0),"")</f>
        <v/>
      </c>
      <c r="S64" s="38" t="str">
        <f>IF(E64="","",IF(IFERROR(VLOOKUP(E64,'Onbase Report'!D:E,2,0),"")&lt;&gt;"","Details in Onbase","No Details"))</f>
        <v/>
      </c>
    </row>
    <row r="65" spans="1:19" s="38" customFormat="1" ht="14.5" x14ac:dyDescent="0.35">
      <c r="A65" s="47" t="str">
        <f>IF('Salesforce Dump'!A62&lt;&gt;"",'Salesforce Dump'!A62,"")</f>
        <v/>
      </c>
      <c r="B65" s="48"/>
      <c r="C65" s="49" t="str">
        <f>IF('Salesforce Dump'!B62&lt;&gt;"",'Salesforce Dump'!B62,"")</f>
        <v/>
      </c>
      <c r="D65" s="48"/>
      <c r="E65" s="50" t="str">
        <f>IF('Salesforce Dump'!C62&lt;&gt;"",'Salesforce Dump'!C62,"")</f>
        <v/>
      </c>
      <c r="F65" s="49" t="str">
        <f>IF('Salesforce Dump'!D62&lt;&gt;"",'Salesforce Dump'!D62,"")</f>
        <v/>
      </c>
      <c r="G65" s="49" t="str">
        <f>IF('Salesforce Dump'!E62&lt;&gt;"",'Salesforce Dump'!E62,"")</f>
        <v/>
      </c>
      <c r="H65" s="49" t="str">
        <f>IF('Salesforce Dump'!G62&lt;&gt;"",'Salesforce Dump'!G62,"")</f>
        <v/>
      </c>
      <c r="I65" s="49" t="str">
        <f>IF('Salesforce Dump'!H62&lt;&gt;"",'Salesforce Dump'!H62,"")</f>
        <v/>
      </c>
      <c r="J65" s="51" t="str">
        <f>IF('Salesforce Dump'!I62&lt;&gt;"",'Salesforce Dump'!I62,"")</f>
        <v/>
      </c>
      <c r="K65" s="51" t="str">
        <f>IF('Salesforce Dump'!J62&lt;&gt;"",'Salesforce Dump'!J62,"")</f>
        <v/>
      </c>
      <c r="L65" s="52" t="str">
        <f>IFERROR(INDEX('OBA Dump'!C:C,MATCH($E65*1,'OBA Dump'!$A:$A,0)),"")</f>
        <v/>
      </c>
      <c r="M65" s="52" t="str">
        <f>IFERROR(INDEX('OBA Dump'!D:D,MATCH($E65*1,'OBA Dump'!$A:$A,0)),"")</f>
        <v/>
      </c>
      <c r="N65" s="52"/>
      <c r="O65" s="52"/>
      <c r="P65" s="53"/>
      <c r="Q65" s="52"/>
      <c r="R65" s="38" t="str">
        <f>_xlfn.IFNA(VLOOKUP(E65,'Pre-Booked Holidays'!A:B,2,0),"")</f>
        <v/>
      </c>
      <c r="S65" s="38" t="str">
        <f>IF(E65="","",IF(IFERROR(VLOOKUP(E65,'Onbase Report'!D:E,2,0),"")&lt;&gt;"","Details in Onbase","No Details"))</f>
        <v/>
      </c>
    </row>
    <row r="66" spans="1:19" s="38" customFormat="1" ht="14.5" x14ac:dyDescent="0.35">
      <c r="A66" s="47" t="str">
        <f>IF('Salesforce Dump'!A63&lt;&gt;"",'Salesforce Dump'!A63,"")</f>
        <v/>
      </c>
      <c r="B66" s="48"/>
      <c r="C66" s="49" t="str">
        <f>IF('Salesforce Dump'!B63&lt;&gt;"",'Salesforce Dump'!B63,"")</f>
        <v/>
      </c>
      <c r="D66" s="48"/>
      <c r="E66" s="50" t="str">
        <f>IF('Salesforce Dump'!C63&lt;&gt;"",'Salesforce Dump'!C63,"")</f>
        <v/>
      </c>
      <c r="F66" s="49" t="str">
        <f>IF('Salesforce Dump'!D63&lt;&gt;"",'Salesforce Dump'!D63,"")</f>
        <v/>
      </c>
      <c r="G66" s="49" t="str">
        <f>IF('Salesforce Dump'!E63&lt;&gt;"",'Salesforce Dump'!E63,"")</f>
        <v/>
      </c>
      <c r="H66" s="49" t="str">
        <f>IF('Salesforce Dump'!G63&lt;&gt;"",'Salesforce Dump'!G63,"")</f>
        <v/>
      </c>
      <c r="I66" s="49" t="str">
        <f>IF('Salesforce Dump'!H63&lt;&gt;"",'Salesforce Dump'!H63,"")</f>
        <v/>
      </c>
      <c r="J66" s="51" t="str">
        <f>IF('Salesforce Dump'!I63&lt;&gt;"",'Salesforce Dump'!I63,"")</f>
        <v/>
      </c>
      <c r="K66" s="51" t="str">
        <f>IF('Salesforce Dump'!J63&lt;&gt;"",'Salesforce Dump'!J63,"")</f>
        <v/>
      </c>
      <c r="L66" s="52" t="str">
        <f>IFERROR(INDEX('OBA Dump'!C:C,MATCH($E66*1,'OBA Dump'!$A:$A,0)),"")</f>
        <v/>
      </c>
      <c r="M66" s="52" t="str">
        <f>IFERROR(INDEX('OBA Dump'!D:D,MATCH($E66*1,'OBA Dump'!$A:$A,0)),"")</f>
        <v/>
      </c>
      <c r="N66" s="52"/>
      <c r="O66" s="52"/>
      <c r="P66" s="53"/>
      <c r="Q66" s="52"/>
      <c r="R66" s="38" t="str">
        <f>_xlfn.IFNA(VLOOKUP(E66,'Pre-Booked Holidays'!A:B,2,0),"")</f>
        <v/>
      </c>
      <c r="S66" s="38" t="str">
        <f>IF(E66="","",IF(IFERROR(VLOOKUP(E66,'Onbase Report'!D:E,2,0),"")&lt;&gt;"","Details in Onbase","No Details"))</f>
        <v/>
      </c>
    </row>
    <row r="67" spans="1:19" s="38" customFormat="1" ht="14.5" x14ac:dyDescent="0.35">
      <c r="A67" s="47" t="str">
        <f>IF('Salesforce Dump'!A64&lt;&gt;"",'Salesforce Dump'!A64,"")</f>
        <v/>
      </c>
      <c r="B67" s="48"/>
      <c r="C67" s="49" t="str">
        <f>IF('Salesforce Dump'!B64&lt;&gt;"",'Salesforce Dump'!B64,"")</f>
        <v/>
      </c>
      <c r="D67" s="48"/>
      <c r="E67" s="50" t="str">
        <f>IF('Salesforce Dump'!C64&lt;&gt;"",'Salesforce Dump'!C64,"")</f>
        <v/>
      </c>
      <c r="F67" s="49" t="str">
        <f>IF('Salesforce Dump'!D64&lt;&gt;"",'Salesforce Dump'!D64,"")</f>
        <v/>
      </c>
      <c r="G67" s="49" t="str">
        <f>IF('Salesforce Dump'!E64&lt;&gt;"",'Salesforce Dump'!E64,"")</f>
        <v/>
      </c>
      <c r="H67" s="49" t="str">
        <f>IF('Salesforce Dump'!G64&lt;&gt;"",'Salesforce Dump'!G64,"")</f>
        <v/>
      </c>
      <c r="I67" s="49" t="str">
        <f>IF('Salesforce Dump'!H64&lt;&gt;"",'Salesforce Dump'!H64,"")</f>
        <v/>
      </c>
      <c r="J67" s="51" t="str">
        <f>IF('Salesforce Dump'!I64&lt;&gt;"",'Salesforce Dump'!I64,"")</f>
        <v/>
      </c>
      <c r="K67" s="51" t="str">
        <f>IF('Salesforce Dump'!J64&lt;&gt;"",'Salesforce Dump'!J64,"")</f>
        <v/>
      </c>
      <c r="L67" s="52" t="str">
        <f>IFERROR(INDEX('OBA Dump'!C:C,MATCH($E67*1,'OBA Dump'!$A:$A,0)),"")</f>
        <v/>
      </c>
      <c r="M67" s="52" t="str">
        <f>IFERROR(INDEX('OBA Dump'!D:D,MATCH($E67*1,'OBA Dump'!$A:$A,0)),"")</f>
        <v/>
      </c>
      <c r="N67" s="52"/>
      <c r="O67" s="52"/>
      <c r="P67" s="53"/>
      <c r="Q67" s="52"/>
      <c r="R67" s="38" t="str">
        <f>_xlfn.IFNA(VLOOKUP(E67,'Pre-Booked Holidays'!A:B,2,0),"")</f>
        <v/>
      </c>
      <c r="S67" s="38" t="str">
        <f>IF(E67="","",IF(IFERROR(VLOOKUP(E67,'Onbase Report'!D:E,2,0),"")&lt;&gt;"","Details in Onbase","No Details"))</f>
        <v/>
      </c>
    </row>
    <row r="68" spans="1:19" s="38" customFormat="1" ht="14.5" x14ac:dyDescent="0.35">
      <c r="A68" s="47" t="str">
        <f>IF('Salesforce Dump'!A65&lt;&gt;"",'Salesforce Dump'!A65,"")</f>
        <v/>
      </c>
      <c r="B68" s="48"/>
      <c r="C68" s="49" t="str">
        <f>IF('Salesforce Dump'!B65&lt;&gt;"",'Salesforce Dump'!B65,"")</f>
        <v/>
      </c>
      <c r="D68" s="48"/>
      <c r="E68" s="50" t="str">
        <f>IF('Salesforce Dump'!C65&lt;&gt;"",'Salesforce Dump'!C65,"")</f>
        <v/>
      </c>
      <c r="F68" s="49" t="str">
        <f>IF('Salesforce Dump'!D65&lt;&gt;"",'Salesforce Dump'!D65,"")</f>
        <v/>
      </c>
      <c r="G68" s="49" t="str">
        <f>IF('Salesforce Dump'!E65&lt;&gt;"",'Salesforce Dump'!E65,"")</f>
        <v/>
      </c>
      <c r="H68" s="49" t="str">
        <f>IF('Salesforce Dump'!G65&lt;&gt;"",'Salesforce Dump'!G65,"")</f>
        <v/>
      </c>
      <c r="I68" s="49" t="str">
        <f>IF('Salesforce Dump'!H65&lt;&gt;"",'Salesforce Dump'!H65,"")</f>
        <v/>
      </c>
      <c r="J68" s="51" t="str">
        <f>IF('Salesforce Dump'!I65&lt;&gt;"",'Salesforce Dump'!I65,"")</f>
        <v/>
      </c>
      <c r="K68" s="51" t="str">
        <f>IF('Salesforce Dump'!J65&lt;&gt;"",'Salesforce Dump'!J65,"")</f>
        <v/>
      </c>
      <c r="L68" s="52" t="str">
        <f>IFERROR(INDEX('OBA Dump'!C:C,MATCH($E68*1,'OBA Dump'!$A:$A,0)),"")</f>
        <v/>
      </c>
      <c r="M68" s="52" t="str">
        <f>IFERROR(INDEX('OBA Dump'!D:D,MATCH($E68*1,'OBA Dump'!$A:$A,0)),"")</f>
        <v/>
      </c>
      <c r="N68" s="52"/>
      <c r="O68" s="52"/>
      <c r="P68" s="53"/>
      <c r="Q68" s="52"/>
      <c r="R68" s="38" t="str">
        <f>_xlfn.IFNA(VLOOKUP(E68,'Pre-Booked Holidays'!A:B,2,0),"")</f>
        <v/>
      </c>
      <c r="S68" s="38" t="str">
        <f>IF(E68="","",IF(IFERROR(VLOOKUP(E68,'Onbase Report'!D:E,2,0),"")&lt;&gt;"","Details in Onbase","No Details"))</f>
        <v/>
      </c>
    </row>
    <row r="69" spans="1:19" s="38" customFormat="1" ht="14.5" x14ac:dyDescent="0.35">
      <c r="A69" s="47" t="str">
        <f>IF('Salesforce Dump'!A66&lt;&gt;"",'Salesforce Dump'!A66,"")</f>
        <v/>
      </c>
      <c r="B69" s="48"/>
      <c r="C69" s="49" t="str">
        <f>IF('Salesforce Dump'!B66&lt;&gt;"",'Salesforce Dump'!B66,"")</f>
        <v/>
      </c>
      <c r="D69" s="48"/>
      <c r="E69" s="50" t="str">
        <f>IF('Salesforce Dump'!C66&lt;&gt;"",'Salesforce Dump'!C66,"")</f>
        <v/>
      </c>
      <c r="F69" s="49" t="str">
        <f>IF('Salesforce Dump'!D66&lt;&gt;"",'Salesforce Dump'!D66,"")</f>
        <v/>
      </c>
      <c r="G69" s="49" t="str">
        <f>IF('Salesforce Dump'!E66&lt;&gt;"",'Salesforce Dump'!E66,"")</f>
        <v/>
      </c>
      <c r="H69" s="49" t="str">
        <f>IF('Salesforce Dump'!G66&lt;&gt;"",'Salesforce Dump'!G66,"")</f>
        <v/>
      </c>
      <c r="I69" s="49" t="str">
        <f>IF('Salesforce Dump'!H66&lt;&gt;"",'Salesforce Dump'!H66,"")</f>
        <v/>
      </c>
      <c r="J69" s="51" t="str">
        <f>IF('Salesforce Dump'!I66&lt;&gt;"",'Salesforce Dump'!I66,"")</f>
        <v/>
      </c>
      <c r="K69" s="51" t="str">
        <f>IF('Salesforce Dump'!J66&lt;&gt;"",'Salesforce Dump'!J66,"")</f>
        <v/>
      </c>
      <c r="L69" s="52" t="str">
        <f>IFERROR(INDEX('OBA Dump'!C:C,MATCH($E69*1,'OBA Dump'!$A:$A,0)),"")</f>
        <v/>
      </c>
      <c r="M69" s="52" t="str">
        <f>IFERROR(INDEX('OBA Dump'!D:D,MATCH($E69*1,'OBA Dump'!$A:$A,0)),"")</f>
        <v/>
      </c>
      <c r="N69" s="52"/>
      <c r="O69" s="52"/>
      <c r="P69" s="53"/>
      <c r="Q69" s="52"/>
      <c r="R69" s="38" t="str">
        <f>_xlfn.IFNA(VLOOKUP(E69,'Pre-Booked Holidays'!A:B,2,0),"")</f>
        <v/>
      </c>
      <c r="S69" s="38" t="str">
        <f>IF(E69="","",IF(IFERROR(VLOOKUP(E69,'Onbase Report'!D:E,2,0),"")&lt;&gt;"","Details in Onbase","No Details"))</f>
        <v/>
      </c>
    </row>
    <row r="70" spans="1:19" s="38" customFormat="1" ht="14.5" x14ac:dyDescent="0.35">
      <c r="A70" s="47" t="str">
        <f>IF('Salesforce Dump'!A67&lt;&gt;"",'Salesforce Dump'!A67,"")</f>
        <v/>
      </c>
      <c r="B70" s="48"/>
      <c r="C70" s="49" t="str">
        <f>IF('Salesforce Dump'!B67&lt;&gt;"",'Salesforce Dump'!B67,"")</f>
        <v/>
      </c>
      <c r="D70" s="48"/>
      <c r="E70" s="50" t="str">
        <f>IF('Salesforce Dump'!C67&lt;&gt;"",'Salesforce Dump'!C67,"")</f>
        <v/>
      </c>
      <c r="F70" s="49" t="str">
        <f>IF('Salesforce Dump'!D67&lt;&gt;"",'Salesforce Dump'!D67,"")</f>
        <v/>
      </c>
      <c r="G70" s="49" t="str">
        <f>IF('Salesforce Dump'!E67&lt;&gt;"",'Salesforce Dump'!E67,"")</f>
        <v/>
      </c>
      <c r="H70" s="49" t="str">
        <f>IF('Salesforce Dump'!G67&lt;&gt;"",'Salesforce Dump'!G67,"")</f>
        <v/>
      </c>
      <c r="I70" s="49" t="str">
        <f>IF('Salesforce Dump'!H67&lt;&gt;"",'Salesforce Dump'!H67,"")</f>
        <v/>
      </c>
      <c r="J70" s="51" t="str">
        <f>IF('Salesforce Dump'!I67&lt;&gt;"",'Salesforce Dump'!I67,"")</f>
        <v/>
      </c>
      <c r="K70" s="51" t="str">
        <f>IF('Salesforce Dump'!J67&lt;&gt;"",'Salesforce Dump'!J67,"")</f>
        <v/>
      </c>
      <c r="L70" s="52" t="str">
        <f>IFERROR(INDEX('OBA Dump'!C:C,MATCH($E70*1,'OBA Dump'!$A:$A,0)),"")</f>
        <v/>
      </c>
      <c r="M70" s="52" t="str">
        <f>IFERROR(INDEX('OBA Dump'!D:D,MATCH($E70*1,'OBA Dump'!$A:$A,0)),"")</f>
        <v/>
      </c>
      <c r="N70" s="52"/>
      <c r="O70" s="52"/>
      <c r="P70" s="53"/>
      <c r="Q70" s="52"/>
      <c r="R70" s="38" t="str">
        <f>_xlfn.IFNA(VLOOKUP(E70,'Pre-Booked Holidays'!A:B,2,0),"")</f>
        <v/>
      </c>
      <c r="S70" s="38" t="str">
        <f>IF(E70="","",IF(IFERROR(VLOOKUP(E70,'Onbase Report'!D:E,2,0),"")&lt;&gt;"","Details in Onbase","No Details"))</f>
        <v/>
      </c>
    </row>
    <row r="71" spans="1:19" s="38" customFormat="1" ht="14.5" x14ac:dyDescent="0.35">
      <c r="A71" s="47" t="str">
        <f>IF('Salesforce Dump'!A68&lt;&gt;"",'Salesforce Dump'!A68,"")</f>
        <v/>
      </c>
      <c r="B71" s="48"/>
      <c r="C71" s="49" t="str">
        <f>IF('Salesforce Dump'!B68&lt;&gt;"",'Salesforce Dump'!B68,"")</f>
        <v/>
      </c>
      <c r="D71" s="48"/>
      <c r="E71" s="50" t="str">
        <f>IF('Salesforce Dump'!C68&lt;&gt;"",'Salesforce Dump'!C68,"")</f>
        <v/>
      </c>
      <c r="F71" s="49" t="str">
        <f>IF('Salesforce Dump'!D68&lt;&gt;"",'Salesforce Dump'!D68,"")</f>
        <v/>
      </c>
      <c r="G71" s="49" t="str">
        <f>IF('Salesforce Dump'!E68&lt;&gt;"",'Salesforce Dump'!E68,"")</f>
        <v/>
      </c>
      <c r="H71" s="49" t="str">
        <f>IF('Salesforce Dump'!G68&lt;&gt;"",'Salesforce Dump'!G68,"")</f>
        <v/>
      </c>
      <c r="I71" s="49" t="str">
        <f>IF('Salesforce Dump'!H68&lt;&gt;"",'Salesforce Dump'!H68,"")</f>
        <v/>
      </c>
      <c r="J71" s="51" t="str">
        <f>IF('Salesforce Dump'!I68&lt;&gt;"",'Salesforce Dump'!I68,"")</f>
        <v/>
      </c>
      <c r="K71" s="51" t="str">
        <f>IF('Salesforce Dump'!J68&lt;&gt;"",'Salesforce Dump'!J68,"")</f>
        <v/>
      </c>
      <c r="L71" s="52" t="str">
        <f>IFERROR(INDEX('OBA Dump'!C:C,MATCH($E71*1,'OBA Dump'!$A:$A,0)),"")</f>
        <v/>
      </c>
      <c r="M71" s="52" t="str">
        <f>IFERROR(INDEX('OBA Dump'!D:D,MATCH($E71*1,'OBA Dump'!$A:$A,0)),"")</f>
        <v/>
      </c>
      <c r="N71" s="52"/>
      <c r="O71" s="52"/>
      <c r="P71" s="53"/>
      <c r="Q71" s="52"/>
      <c r="R71" s="38" t="str">
        <f>_xlfn.IFNA(VLOOKUP(E71,'Pre-Booked Holidays'!A:B,2,0),"")</f>
        <v/>
      </c>
      <c r="S71" s="38" t="str">
        <f>IF(E71="","",IF(IFERROR(VLOOKUP(E71,'Onbase Report'!D:E,2,0),"")&lt;&gt;"","Details in Onbase","No Details"))</f>
        <v/>
      </c>
    </row>
    <row r="72" spans="1:19" s="38" customFormat="1" ht="14.5" x14ac:dyDescent="0.35">
      <c r="A72" s="47" t="str">
        <f>IF('Salesforce Dump'!A69&lt;&gt;"",'Salesforce Dump'!A69,"")</f>
        <v/>
      </c>
      <c r="B72" s="48"/>
      <c r="C72" s="49" t="str">
        <f>IF('Salesforce Dump'!B69&lt;&gt;"",'Salesforce Dump'!B69,"")</f>
        <v/>
      </c>
      <c r="D72" s="48"/>
      <c r="E72" s="50" t="str">
        <f>IF('Salesforce Dump'!C69&lt;&gt;"",'Salesforce Dump'!C69,"")</f>
        <v/>
      </c>
      <c r="F72" s="49" t="str">
        <f>IF('Salesforce Dump'!D69&lt;&gt;"",'Salesforce Dump'!D69,"")</f>
        <v/>
      </c>
      <c r="G72" s="49" t="str">
        <f>IF('Salesforce Dump'!E69&lt;&gt;"",'Salesforce Dump'!E69,"")</f>
        <v/>
      </c>
      <c r="H72" s="49" t="str">
        <f>IF('Salesforce Dump'!G69&lt;&gt;"",'Salesforce Dump'!G69,"")</f>
        <v/>
      </c>
      <c r="I72" s="49" t="str">
        <f>IF('Salesforce Dump'!H69&lt;&gt;"",'Salesforce Dump'!H69,"")</f>
        <v/>
      </c>
      <c r="J72" s="51" t="str">
        <f>IF('Salesforce Dump'!I69&lt;&gt;"",'Salesforce Dump'!I69,"")</f>
        <v/>
      </c>
      <c r="K72" s="51" t="str">
        <f>IF('Salesforce Dump'!J69&lt;&gt;"",'Salesforce Dump'!J69,"")</f>
        <v/>
      </c>
      <c r="L72" s="52" t="str">
        <f>IFERROR(INDEX('OBA Dump'!C:C,MATCH($E72*1,'OBA Dump'!$A:$A,0)),"")</f>
        <v/>
      </c>
      <c r="M72" s="52" t="str">
        <f>IFERROR(INDEX('OBA Dump'!D:D,MATCH($E72*1,'OBA Dump'!$A:$A,0)),"")</f>
        <v/>
      </c>
      <c r="N72" s="52"/>
      <c r="O72" s="52"/>
      <c r="P72" s="53"/>
      <c r="Q72" s="52"/>
      <c r="R72" s="38" t="str">
        <f>_xlfn.IFNA(VLOOKUP(E72,'Pre-Booked Holidays'!A:B,2,0),"")</f>
        <v/>
      </c>
      <c r="S72" s="38" t="str">
        <f>IF(E72="","",IF(IFERROR(VLOOKUP(E72,'Onbase Report'!D:E,2,0),"")&lt;&gt;"","Details in Onbase","No Details"))</f>
        <v/>
      </c>
    </row>
    <row r="73" spans="1:19" s="38" customFormat="1" ht="14.5" x14ac:dyDescent="0.35">
      <c r="A73" s="47" t="str">
        <f>IF('Salesforce Dump'!A70&lt;&gt;"",'Salesforce Dump'!A70,"")</f>
        <v/>
      </c>
      <c r="B73" s="48"/>
      <c r="C73" s="49" t="str">
        <f>IF('Salesforce Dump'!B70&lt;&gt;"",'Salesforce Dump'!B70,"")</f>
        <v/>
      </c>
      <c r="D73" s="48"/>
      <c r="E73" s="50" t="str">
        <f>IF('Salesforce Dump'!C70&lt;&gt;"",'Salesforce Dump'!C70,"")</f>
        <v/>
      </c>
      <c r="F73" s="49" t="str">
        <f>IF('Salesforce Dump'!D70&lt;&gt;"",'Salesforce Dump'!D70,"")</f>
        <v/>
      </c>
      <c r="G73" s="49" t="str">
        <f>IF('Salesforce Dump'!E70&lt;&gt;"",'Salesforce Dump'!E70,"")</f>
        <v/>
      </c>
      <c r="H73" s="49" t="str">
        <f>IF('Salesforce Dump'!G70&lt;&gt;"",'Salesforce Dump'!G70,"")</f>
        <v/>
      </c>
      <c r="I73" s="49" t="str">
        <f>IF('Salesforce Dump'!H70&lt;&gt;"",'Salesforce Dump'!H70,"")</f>
        <v/>
      </c>
      <c r="J73" s="51" t="str">
        <f>IF('Salesforce Dump'!I70&lt;&gt;"",'Salesforce Dump'!I70,"")</f>
        <v/>
      </c>
      <c r="K73" s="51" t="str">
        <f>IF('Salesforce Dump'!J70&lt;&gt;"",'Salesforce Dump'!J70,"")</f>
        <v/>
      </c>
      <c r="L73" s="52" t="str">
        <f>IFERROR(INDEX('OBA Dump'!C:C,MATCH($E73*1,'OBA Dump'!$A:$A,0)),"")</f>
        <v/>
      </c>
      <c r="M73" s="52" t="str">
        <f>IFERROR(INDEX('OBA Dump'!D:D,MATCH($E73*1,'OBA Dump'!$A:$A,0)),"")</f>
        <v/>
      </c>
      <c r="N73" s="52"/>
      <c r="O73" s="52"/>
      <c r="P73" s="53"/>
      <c r="Q73" s="52"/>
      <c r="R73" s="38" t="str">
        <f>_xlfn.IFNA(VLOOKUP(E73,'Pre-Booked Holidays'!A:B,2,0),"")</f>
        <v/>
      </c>
      <c r="S73" s="38" t="str">
        <f>IF(E73="","",IF(IFERROR(VLOOKUP(E73,'Onbase Report'!D:E,2,0),"")&lt;&gt;"","Details in Onbase","No Details"))</f>
        <v/>
      </c>
    </row>
    <row r="74" spans="1:19" s="38" customFormat="1" ht="14.5" x14ac:dyDescent="0.35">
      <c r="A74" s="47" t="str">
        <f>IF('Salesforce Dump'!A71&lt;&gt;"",'Salesforce Dump'!A71,"")</f>
        <v/>
      </c>
      <c r="B74" s="48"/>
      <c r="C74" s="49" t="str">
        <f>IF('Salesforce Dump'!B71&lt;&gt;"",'Salesforce Dump'!B71,"")</f>
        <v/>
      </c>
      <c r="D74" s="48"/>
      <c r="E74" s="50" t="str">
        <f>IF('Salesforce Dump'!C71&lt;&gt;"",'Salesforce Dump'!C71,"")</f>
        <v/>
      </c>
      <c r="F74" s="49" t="str">
        <f>IF('Salesforce Dump'!D71&lt;&gt;"",'Salesforce Dump'!D71,"")</f>
        <v/>
      </c>
      <c r="G74" s="49" t="str">
        <f>IF('Salesforce Dump'!E71&lt;&gt;"",'Salesforce Dump'!E71,"")</f>
        <v/>
      </c>
      <c r="H74" s="49" t="str">
        <f>IF('Salesforce Dump'!G71&lt;&gt;"",'Salesforce Dump'!G71,"")</f>
        <v/>
      </c>
      <c r="I74" s="49" t="str">
        <f>IF('Salesforce Dump'!H71&lt;&gt;"",'Salesforce Dump'!H71,"")</f>
        <v/>
      </c>
      <c r="J74" s="51" t="str">
        <f>IF('Salesforce Dump'!I71&lt;&gt;"",'Salesforce Dump'!I71,"")</f>
        <v/>
      </c>
      <c r="K74" s="51" t="str">
        <f>IF('Salesforce Dump'!J71&lt;&gt;"",'Salesforce Dump'!J71,"")</f>
        <v/>
      </c>
      <c r="L74" s="52" t="str">
        <f>IFERROR(INDEX('OBA Dump'!C:C,MATCH($E74*1,'OBA Dump'!$A:$A,0)),"")</f>
        <v/>
      </c>
      <c r="M74" s="52" t="str">
        <f>IFERROR(INDEX('OBA Dump'!D:D,MATCH($E74*1,'OBA Dump'!$A:$A,0)),"")</f>
        <v/>
      </c>
      <c r="N74" s="52"/>
      <c r="O74" s="52"/>
      <c r="P74" s="53"/>
      <c r="Q74" s="52"/>
      <c r="R74" s="38" t="str">
        <f>_xlfn.IFNA(VLOOKUP(E74,'Pre-Booked Holidays'!A:B,2,0),"")</f>
        <v/>
      </c>
      <c r="S74" s="38" t="str">
        <f>IF(E74="","",IF(IFERROR(VLOOKUP(E74,'Onbase Report'!D:E,2,0),"")&lt;&gt;"","Details in Onbase","No Details"))</f>
        <v/>
      </c>
    </row>
    <row r="75" spans="1:19" s="38" customFormat="1" ht="14.5" x14ac:dyDescent="0.35">
      <c r="A75" s="47" t="str">
        <f>IF('Salesforce Dump'!A72&lt;&gt;"",'Salesforce Dump'!A72,"")</f>
        <v/>
      </c>
      <c r="B75" s="48"/>
      <c r="C75" s="49" t="str">
        <f>IF('Salesforce Dump'!B72&lt;&gt;"",'Salesforce Dump'!B72,"")</f>
        <v/>
      </c>
      <c r="D75" s="48"/>
      <c r="E75" s="50" t="str">
        <f>IF('Salesforce Dump'!C72&lt;&gt;"",'Salesforce Dump'!C72,"")</f>
        <v/>
      </c>
      <c r="F75" s="49" t="str">
        <f>IF('Salesforce Dump'!D72&lt;&gt;"",'Salesforce Dump'!D72,"")</f>
        <v/>
      </c>
      <c r="G75" s="49" t="str">
        <f>IF('Salesforce Dump'!E72&lt;&gt;"",'Salesforce Dump'!E72,"")</f>
        <v/>
      </c>
      <c r="H75" s="49" t="str">
        <f>IF('Salesforce Dump'!G72&lt;&gt;"",'Salesforce Dump'!G72,"")</f>
        <v/>
      </c>
      <c r="I75" s="49" t="str">
        <f>IF('Salesforce Dump'!H72&lt;&gt;"",'Salesforce Dump'!H72,"")</f>
        <v/>
      </c>
      <c r="J75" s="51" t="str">
        <f>IF('Salesforce Dump'!I72&lt;&gt;"",'Salesforce Dump'!I72,"")</f>
        <v/>
      </c>
      <c r="K75" s="51" t="str">
        <f>IF('Salesforce Dump'!J72&lt;&gt;"",'Salesforce Dump'!J72,"")</f>
        <v/>
      </c>
      <c r="L75" s="52" t="str">
        <f>IFERROR(INDEX('OBA Dump'!C:C,MATCH($E75*1,'OBA Dump'!$A:$A,0)),"")</f>
        <v/>
      </c>
      <c r="M75" s="52" t="str">
        <f>IFERROR(INDEX('OBA Dump'!D:D,MATCH($E75*1,'OBA Dump'!$A:$A,0)),"")</f>
        <v/>
      </c>
      <c r="N75" s="52"/>
      <c r="O75" s="52"/>
      <c r="P75" s="53"/>
      <c r="Q75" s="52"/>
      <c r="R75" s="38" t="str">
        <f>_xlfn.IFNA(VLOOKUP(E75,'Pre-Booked Holidays'!A:B,2,0),"")</f>
        <v/>
      </c>
      <c r="S75" s="38" t="str">
        <f>IF(E75="","",IF(IFERROR(VLOOKUP(E75,'Onbase Report'!D:E,2,0),"")&lt;&gt;"","Details in Onbase","No Details"))</f>
        <v/>
      </c>
    </row>
    <row r="76" spans="1:19" s="38" customFormat="1" ht="14.5" x14ac:dyDescent="0.35">
      <c r="A76" s="47" t="str">
        <f>IF('Salesforce Dump'!A73&lt;&gt;"",'Salesforce Dump'!A73,"")</f>
        <v/>
      </c>
      <c r="B76" s="48"/>
      <c r="C76" s="49" t="str">
        <f>IF('Salesforce Dump'!B73&lt;&gt;"",'Salesforce Dump'!B73,"")</f>
        <v/>
      </c>
      <c r="D76" s="48"/>
      <c r="E76" s="50" t="str">
        <f>IF('Salesforce Dump'!C73&lt;&gt;"",'Salesforce Dump'!C73,"")</f>
        <v/>
      </c>
      <c r="F76" s="49" t="str">
        <f>IF('Salesforce Dump'!D73&lt;&gt;"",'Salesforce Dump'!D73,"")</f>
        <v/>
      </c>
      <c r="G76" s="49" t="str">
        <f>IF('Salesforce Dump'!E73&lt;&gt;"",'Salesforce Dump'!E73,"")</f>
        <v/>
      </c>
      <c r="H76" s="49" t="str">
        <f>IF('Salesforce Dump'!G73&lt;&gt;"",'Salesforce Dump'!G73,"")</f>
        <v/>
      </c>
      <c r="I76" s="49" t="str">
        <f>IF('Salesforce Dump'!H73&lt;&gt;"",'Salesforce Dump'!H73,"")</f>
        <v/>
      </c>
      <c r="J76" s="51" t="str">
        <f>IF('Salesforce Dump'!I73&lt;&gt;"",'Salesforce Dump'!I73,"")</f>
        <v/>
      </c>
      <c r="K76" s="51" t="str">
        <f>IF('Salesforce Dump'!J73&lt;&gt;"",'Salesforce Dump'!J73,"")</f>
        <v/>
      </c>
      <c r="L76" s="52" t="str">
        <f>IFERROR(INDEX('OBA Dump'!C:C,MATCH($E76*1,'OBA Dump'!$A:$A,0)),"")</f>
        <v/>
      </c>
      <c r="M76" s="52" t="str">
        <f>IFERROR(INDEX('OBA Dump'!D:D,MATCH($E76*1,'OBA Dump'!$A:$A,0)),"")</f>
        <v/>
      </c>
      <c r="N76" s="52"/>
      <c r="O76" s="52"/>
      <c r="P76" s="53"/>
      <c r="Q76" s="52"/>
      <c r="R76" s="38" t="str">
        <f>_xlfn.IFNA(VLOOKUP(E76,'Pre-Booked Holidays'!A:B,2,0),"")</f>
        <v/>
      </c>
      <c r="S76" s="38" t="str">
        <f>IF(E76="","",IF(IFERROR(VLOOKUP(E76,'Onbase Report'!D:E,2,0),"")&lt;&gt;"","Details in Onbase","No Details"))</f>
        <v/>
      </c>
    </row>
    <row r="77" spans="1:19" s="38" customFormat="1" ht="14.5" x14ac:dyDescent="0.35">
      <c r="A77" s="47" t="str">
        <f>IF('Salesforce Dump'!A74&lt;&gt;"",'Salesforce Dump'!A74,"")</f>
        <v/>
      </c>
      <c r="B77" s="48"/>
      <c r="C77" s="49" t="str">
        <f>IF('Salesforce Dump'!B74&lt;&gt;"",'Salesforce Dump'!B74,"")</f>
        <v/>
      </c>
      <c r="D77" s="48"/>
      <c r="E77" s="50" t="str">
        <f>IF('Salesforce Dump'!C74&lt;&gt;"",'Salesforce Dump'!C74,"")</f>
        <v/>
      </c>
      <c r="F77" s="49" t="str">
        <f>IF('Salesforce Dump'!D74&lt;&gt;"",'Salesforce Dump'!D74,"")</f>
        <v/>
      </c>
      <c r="G77" s="49" t="str">
        <f>IF('Salesforce Dump'!E74&lt;&gt;"",'Salesforce Dump'!E74,"")</f>
        <v/>
      </c>
      <c r="H77" s="49" t="str">
        <f>IF('Salesforce Dump'!G74&lt;&gt;"",'Salesforce Dump'!G74,"")</f>
        <v/>
      </c>
      <c r="I77" s="49" t="str">
        <f>IF('Salesforce Dump'!H74&lt;&gt;"",'Salesforce Dump'!H74,"")</f>
        <v/>
      </c>
      <c r="J77" s="51" t="str">
        <f>IF('Salesforce Dump'!I74&lt;&gt;"",'Salesforce Dump'!I74,"")</f>
        <v/>
      </c>
      <c r="K77" s="51" t="str">
        <f>IF('Salesforce Dump'!J74&lt;&gt;"",'Salesforce Dump'!J74,"")</f>
        <v/>
      </c>
      <c r="L77" s="52" t="str">
        <f>IFERROR(INDEX('OBA Dump'!C:C,MATCH($E77*1,'OBA Dump'!$A:$A,0)),"")</f>
        <v/>
      </c>
      <c r="M77" s="52" t="str">
        <f>IFERROR(INDEX('OBA Dump'!D:D,MATCH($E77*1,'OBA Dump'!$A:$A,0)),"")</f>
        <v/>
      </c>
      <c r="N77" s="52"/>
      <c r="O77" s="52"/>
      <c r="P77" s="53"/>
      <c r="Q77" s="52"/>
      <c r="R77" s="38" t="str">
        <f>_xlfn.IFNA(VLOOKUP(E77,'Pre-Booked Holidays'!A:B,2,0),"")</f>
        <v/>
      </c>
      <c r="S77" s="38" t="str">
        <f>IF(E77="","",IF(IFERROR(VLOOKUP(E77,'Onbase Report'!D:E,2,0),"")&lt;&gt;"","Details in Onbase","No Details"))</f>
        <v/>
      </c>
    </row>
    <row r="78" spans="1:19" s="38" customFormat="1" ht="14.5" x14ac:dyDescent="0.35">
      <c r="A78" s="47" t="str">
        <f>IF('Salesforce Dump'!A75&lt;&gt;"",'Salesforce Dump'!A75,"")</f>
        <v/>
      </c>
      <c r="B78" s="48"/>
      <c r="C78" s="49" t="str">
        <f>IF('Salesforce Dump'!B75&lt;&gt;"",'Salesforce Dump'!B75,"")</f>
        <v/>
      </c>
      <c r="D78" s="48"/>
      <c r="E78" s="50" t="str">
        <f>IF('Salesforce Dump'!C75&lt;&gt;"",'Salesforce Dump'!C75,"")</f>
        <v/>
      </c>
      <c r="F78" s="49" t="str">
        <f>IF('Salesforce Dump'!D75&lt;&gt;"",'Salesforce Dump'!D75,"")</f>
        <v/>
      </c>
      <c r="G78" s="49" t="str">
        <f>IF('Salesforce Dump'!E75&lt;&gt;"",'Salesforce Dump'!E75,"")</f>
        <v/>
      </c>
      <c r="H78" s="49" t="str">
        <f>IF('Salesforce Dump'!G75&lt;&gt;"",'Salesforce Dump'!G75,"")</f>
        <v/>
      </c>
      <c r="I78" s="49" t="str">
        <f>IF('Salesforce Dump'!H75&lt;&gt;"",'Salesforce Dump'!H75,"")</f>
        <v/>
      </c>
      <c r="J78" s="51" t="str">
        <f>IF('Salesforce Dump'!I75&lt;&gt;"",'Salesforce Dump'!I75,"")</f>
        <v/>
      </c>
      <c r="K78" s="51" t="str">
        <f>IF('Salesforce Dump'!J75&lt;&gt;"",'Salesforce Dump'!J75,"")</f>
        <v/>
      </c>
      <c r="L78" s="52" t="str">
        <f>IFERROR(INDEX('OBA Dump'!C:C,MATCH($E78*1,'OBA Dump'!$A:$A,0)),"")</f>
        <v/>
      </c>
      <c r="M78" s="52" t="str">
        <f>IFERROR(INDEX('OBA Dump'!D:D,MATCH($E78*1,'OBA Dump'!$A:$A,0)),"")</f>
        <v/>
      </c>
      <c r="N78" s="52"/>
      <c r="O78" s="52"/>
      <c r="P78" s="53"/>
      <c r="Q78" s="52"/>
      <c r="R78" s="38" t="str">
        <f>_xlfn.IFNA(VLOOKUP(E78,'Pre-Booked Holidays'!A:B,2,0),"")</f>
        <v/>
      </c>
      <c r="S78" s="38" t="str">
        <f>IF(E78="","",IF(IFERROR(VLOOKUP(E78,'Onbase Report'!D:E,2,0),"")&lt;&gt;"","Details in Onbase","No Details"))</f>
        <v/>
      </c>
    </row>
    <row r="79" spans="1:19" s="38" customFormat="1" ht="14.5" x14ac:dyDescent="0.35">
      <c r="A79" s="47" t="str">
        <f>IF('Salesforce Dump'!A76&lt;&gt;"",'Salesforce Dump'!A76,"")</f>
        <v/>
      </c>
      <c r="B79" s="48"/>
      <c r="C79" s="49" t="str">
        <f>IF('Salesforce Dump'!B76&lt;&gt;"",'Salesforce Dump'!B76,"")</f>
        <v/>
      </c>
      <c r="D79" s="48"/>
      <c r="E79" s="50" t="str">
        <f>IF('Salesforce Dump'!C76&lt;&gt;"",'Salesforce Dump'!C76,"")</f>
        <v/>
      </c>
      <c r="F79" s="49" t="str">
        <f>IF('Salesforce Dump'!D76&lt;&gt;"",'Salesforce Dump'!D76,"")</f>
        <v/>
      </c>
      <c r="G79" s="49" t="str">
        <f>IF('Salesforce Dump'!E76&lt;&gt;"",'Salesforce Dump'!E76,"")</f>
        <v/>
      </c>
      <c r="H79" s="49" t="str">
        <f>IF('Salesforce Dump'!G76&lt;&gt;"",'Salesforce Dump'!G76,"")</f>
        <v/>
      </c>
      <c r="I79" s="49" t="str">
        <f>IF('Salesforce Dump'!H76&lt;&gt;"",'Salesforce Dump'!H76,"")</f>
        <v/>
      </c>
      <c r="J79" s="51" t="str">
        <f>IF('Salesforce Dump'!I76&lt;&gt;"",'Salesforce Dump'!I76,"")</f>
        <v/>
      </c>
      <c r="K79" s="51" t="str">
        <f>IF('Salesforce Dump'!J76&lt;&gt;"",'Salesforce Dump'!J76,"")</f>
        <v/>
      </c>
      <c r="L79" s="52" t="str">
        <f>IFERROR(INDEX('OBA Dump'!C:C,MATCH($E79*1,'OBA Dump'!$A:$A,0)),"")</f>
        <v/>
      </c>
      <c r="M79" s="52" t="str">
        <f>IFERROR(INDEX('OBA Dump'!D:D,MATCH($E79*1,'OBA Dump'!$A:$A,0)),"")</f>
        <v/>
      </c>
      <c r="N79" s="52"/>
      <c r="O79" s="52"/>
      <c r="P79" s="53"/>
      <c r="Q79" s="52"/>
      <c r="R79" s="38" t="str">
        <f>_xlfn.IFNA(VLOOKUP(E79,'Pre-Booked Holidays'!A:B,2,0),"")</f>
        <v/>
      </c>
      <c r="S79" s="38" t="str">
        <f>IF(E79="","",IF(IFERROR(VLOOKUP(E79,'Onbase Report'!D:E,2,0),"")&lt;&gt;"","Details in Onbase","No Details"))</f>
        <v/>
      </c>
    </row>
    <row r="80" spans="1:19" s="38" customFormat="1" ht="14.5" x14ac:dyDescent="0.35">
      <c r="A80" s="47" t="str">
        <f>IF('Salesforce Dump'!A77&lt;&gt;"",'Salesforce Dump'!A77,"")</f>
        <v/>
      </c>
      <c r="B80" s="48"/>
      <c r="C80" s="49" t="str">
        <f>IF('Salesforce Dump'!B77&lt;&gt;"",'Salesforce Dump'!B77,"")</f>
        <v/>
      </c>
      <c r="D80" s="48"/>
      <c r="E80" s="50" t="str">
        <f>IF('Salesforce Dump'!C77&lt;&gt;"",'Salesforce Dump'!C77,"")</f>
        <v/>
      </c>
      <c r="F80" s="49" t="str">
        <f>IF('Salesforce Dump'!D77&lt;&gt;"",'Salesforce Dump'!D77,"")</f>
        <v/>
      </c>
      <c r="G80" s="49" t="str">
        <f>IF('Salesforce Dump'!E77&lt;&gt;"",'Salesforce Dump'!E77,"")</f>
        <v/>
      </c>
      <c r="H80" s="49" t="str">
        <f>IF('Salesforce Dump'!G77&lt;&gt;"",'Salesforce Dump'!G77,"")</f>
        <v/>
      </c>
      <c r="I80" s="49" t="str">
        <f>IF('Salesforce Dump'!H77&lt;&gt;"",'Salesforce Dump'!H77,"")</f>
        <v/>
      </c>
      <c r="J80" s="51" t="str">
        <f>IF('Salesforce Dump'!I77&lt;&gt;"",'Salesforce Dump'!I77,"")</f>
        <v/>
      </c>
      <c r="K80" s="51" t="str">
        <f>IF('Salesforce Dump'!J77&lt;&gt;"",'Salesforce Dump'!J77,"")</f>
        <v/>
      </c>
      <c r="L80" s="52" t="str">
        <f>IFERROR(INDEX('OBA Dump'!C:C,MATCH($E80*1,'OBA Dump'!$A:$A,0)),"")</f>
        <v/>
      </c>
      <c r="M80" s="52" t="str">
        <f>IFERROR(INDEX('OBA Dump'!D:D,MATCH($E80*1,'OBA Dump'!$A:$A,0)),"")</f>
        <v/>
      </c>
      <c r="N80" s="52"/>
      <c r="O80" s="52"/>
      <c r="P80" s="53"/>
      <c r="Q80" s="52"/>
      <c r="R80" s="38" t="str">
        <f>_xlfn.IFNA(VLOOKUP(E80,'Pre-Booked Holidays'!A:B,2,0),"")</f>
        <v/>
      </c>
      <c r="S80" s="38" t="str">
        <f>IF(E80="","",IF(IFERROR(VLOOKUP(E80,'Onbase Report'!D:E,2,0),"")&lt;&gt;"","Details in Onbase","No Details"))</f>
        <v/>
      </c>
    </row>
    <row r="81" spans="1:19" s="38" customFormat="1" ht="14.5" x14ac:dyDescent="0.35">
      <c r="A81" s="47" t="str">
        <f>IF('Salesforce Dump'!A78&lt;&gt;"",'Salesforce Dump'!A78,"")</f>
        <v/>
      </c>
      <c r="B81" s="48"/>
      <c r="C81" s="49" t="str">
        <f>IF('Salesforce Dump'!B78&lt;&gt;"",'Salesforce Dump'!B78,"")</f>
        <v/>
      </c>
      <c r="D81" s="48"/>
      <c r="E81" s="50" t="str">
        <f>IF('Salesforce Dump'!C78&lt;&gt;"",'Salesforce Dump'!C78,"")</f>
        <v/>
      </c>
      <c r="F81" s="49" t="str">
        <f>IF('Salesforce Dump'!D78&lt;&gt;"",'Salesforce Dump'!D78,"")</f>
        <v/>
      </c>
      <c r="G81" s="49" t="str">
        <f>IF('Salesforce Dump'!E78&lt;&gt;"",'Salesforce Dump'!E78,"")</f>
        <v/>
      </c>
      <c r="H81" s="49" t="str">
        <f>IF('Salesforce Dump'!G78&lt;&gt;"",'Salesforce Dump'!G78,"")</f>
        <v/>
      </c>
      <c r="I81" s="49" t="str">
        <f>IF('Salesforce Dump'!H78&lt;&gt;"",'Salesforce Dump'!H78,"")</f>
        <v/>
      </c>
      <c r="J81" s="51" t="str">
        <f>IF('Salesforce Dump'!I78&lt;&gt;"",'Salesforce Dump'!I78,"")</f>
        <v/>
      </c>
      <c r="K81" s="51" t="str">
        <f>IF('Salesforce Dump'!J78&lt;&gt;"",'Salesforce Dump'!J78,"")</f>
        <v/>
      </c>
      <c r="L81" s="52" t="str">
        <f>IFERROR(INDEX('OBA Dump'!C:C,MATCH($E81*1,'OBA Dump'!$A:$A,0)),"")</f>
        <v/>
      </c>
      <c r="M81" s="52" t="str">
        <f>IFERROR(INDEX('OBA Dump'!D:D,MATCH($E81*1,'OBA Dump'!$A:$A,0)),"")</f>
        <v/>
      </c>
      <c r="N81" s="52"/>
      <c r="O81" s="52"/>
      <c r="P81" s="53"/>
      <c r="Q81" s="52"/>
      <c r="R81" s="38" t="str">
        <f>_xlfn.IFNA(VLOOKUP(E81,'Pre-Booked Holidays'!A:B,2,0),"")</f>
        <v/>
      </c>
      <c r="S81" s="38" t="str">
        <f>IF(E81="","",IF(IFERROR(VLOOKUP(E81,'Onbase Report'!D:E,2,0),"")&lt;&gt;"","Details in Onbase","No Details"))</f>
        <v/>
      </c>
    </row>
    <row r="82" spans="1:19" s="38" customFormat="1" ht="14.5" x14ac:dyDescent="0.35">
      <c r="A82" s="47" t="str">
        <f>IF('Salesforce Dump'!A79&lt;&gt;"",'Salesforce Dump'!A79,"")</f>
        <v/>
      </c>
      <c r="B82" s="48"/>
      <c r="C82" s="49" t="str">
        <f>IF('Salesforce Dump'!B79&lt;&gt;"",'Salesforce Dump'!B79,"")</f>
        <v/>
      </c>
      <c r="D82" s="48"/>
      <c r="E82" s="50" t="str">
        <f>IF('Salesforce Dump'!C79&lt;&gt;"",'Salesforce Dump'!C79,"")</f>
        <v/>
      </c>
      <c r="F82" s="49" t="str">
        <f>IF('Salesforce Dump'!D79&lt;&gt;"",'Salesforce Dump'!D79,"")</f>
        <v/>
      </c>
      <c r="G82" s="49" t="str">
        <f>IF('Salesforce Dump'!E79&lt;&gt;"",'Salesforce Dump'!E79,"")</f>
        <v/>
      </c>
      <c r="H82" s="49" t="str">
        <f>IF('Salesforce Dump'!G79&lt;&gt;"",'Salesforce Dump'!G79,"")</f>
        <v/>
      </c>
      <c r="I82" s="49" t="str">
        <f>IF('Salesforce Dump'!H79&lt;&gt;"",'Salesforce Dump'!H79,"")</f>
        <v/>
      </c>
      <c r="J82" s="51" t="str">
        <f>IF('Salesforce Dump'!I79&lt;&gt;"",'Salesforce Dump'!I79,"")</f>
        <v/>
      </c>
      <c r="K82" s="51" t="str">
        <f>IF('Salesforce Dump'!J79&lt;&gt;"",'Salesforce Dump'!J79,"")</f>
        <v/>
      </c>
      <c r="L82" s="52" t="str">
        <f>IFERROR(INDEX('OBA Dump'!C:C,MATCH($E82*1,'OBA Dump'!$A:$A,0)),"")</f>
        <v/>
      </c>
      <c r="M82" s="52" t="str">
        <f>IFERROR(INDEX('OBA Dump'!D:D,MATCH($E82*1,'OBA Dump'!$A:$A,0)),"")</f>
        <v/>
      </c>
      <c r="N82" s="52"/>
      <c r="O82" s="52"/>
      <c r="P82" s="53"/>
      <c r="Q82" s="52"/>
      <c r="R82" s="38" t="str">
        <f>_xlfn.IFNA(VLOOKUP(E82,'Pre-Booked Holidays'!A:B,2,0),"")</f>
        <v/>
      </c>
      <c r="S82" s="38" t="str">
        <f>IF(E82="","",IF(IFERROR(VLOOKUP(E82,'Onbase Report'!D:E,2,0),"")&lt;&gt;"","Details in Onbase","No Details"))</f>
        <v/>
      </c>
    </row>
    <row r="83" spans="1:19" s="38" customFormat="1" ht="14.5" x14ac:dyDescent="0.35">
      <c r="A83" s="47" t="str">
        <f>IF('Salesforce Dump'!A80&lt;&gt;"",'Salesforce Dump'!A80,"")</f>
        <v/>
      </c>
      <c r="B83" s="48"/>
      <c r="C83" s="49" t="str">
        <f>IF('Salesforce Dump'!B80&lt;&gt;"",'Salesforce Dump'!B80,"")</f>
        <v/>
      </c>
      <c r="D83" s="48"/>
      <c r="E83" s="50" t="str">
        <f>IF('Salesforce Dump'!C80&lt;&gt;"",'Salesforce Dump'!C80,"")</f>
        <v/>
      </c>
      <c r="F83" s="49" t="str">
        <f>IF('Salesforce Dump'!D80&lt;&gt;"",'Salesforce Dump'!D80,"")</f>
        <v/>
      </c>
      <c r="G83" s="49" t="str">
        <f>IF('Salesforce Dump'!E80&lt;&gt;"",'Salesforce Dump'!E80,"")</f>
        <v/>
      </c>
      <c r="H83" s="49" t="str">
        <f>IF('Salesforce Dump'!G80&lt;&gt;"",'Salesforce Dump'!G80,"")</f>
        <v/>
      </c>
      <c r="I83" s="49" t="str">
        <f>IF('Salesforce Dump'!H80&lt;&gt;"",'Salesforce Dump'!H80,"")</f>
        <v/>
      </c>
      <c r="J83" s="51" t="str">
        <f>IF('Salesforce Dump'!I80&lt;&gt;"",'Salesforce Dump'!I80,"")</f>
        <v/>
      </c>
      <c r="K83" s="51" t="str">
        <f>IF('Salesforce Dump'!J80&lt;&gt;"",'Salesforce Dump'!J80,"")</f>
        <v/>
      </c>
      <c r="L83" s="52" t="str">
        <f>IFERROR(INDEX('OBA Dump'!C:C,MATCH($E83*1,'OBA Dump'!$A:$A,0)),"")</f>
        <v/>
      </c>
      <c r="M83" s="52" t="str">
        <f>IFERROR(INDEX('OBA Dump'!D:D,MATCH($E83*1,'OBA Dump'!$A:$A,0)),"")</f>
        <v/>
      </c>
      <c r="N83" s="52"/>
      <c r="O83" s="52"/>
      <c r="P83" s="53"/>
      <c r="Q83" s="52"/>
      <c r="R83" s="38" t="str">
        <f>_xlfn.IFNA(VLOOKUP(E83,'Pre-Booked Holidays'!A:B,2,0),"")</f>
        <v/>
      </c>
      <c r="S83" s="38" t="str">
        <f>IF(E83="","",IF(IFERROR(VLOOKUP(E83,'Onbase Report'!D:E,2,0),"")&lt;&gt;"","Details in Onbase","No Details"))</f>
        <v/>
      </c>
    </row>
    <row r="84" spans="1:19" s="38" customFormat="1" ht="14.5" x14ac:dyDescent="0.35">
      <c r="A84" s="47" t="str">
        <f>IF('Salesforce Dump'!A81&lt;&gt;"",'Salesforce Dump'!A81,"")</f>
        <v/>
      </c>
      <c r="B84" s="48"/>
      <c r="C84" s="49" t="str">
        <f>IF('Salesforce Dump'!B81&lt;&gt;"",'Salesforce Dump'!B81,"")</f>
        <v/>
      </c>
      <c r="D84" s="48"/>
      <c r="E84" s="50" t="str">
        <f>IF('Salesforce Dump'!C81&lt;&gt;"",'Salesforce Dump'!C81,"")</f>
        <v/>
      </c>
      <c r="F84" s="49" t="str">
        <f>IF('Salesforce Dump'!D81&lt;&gt;"",'Salesforce Dump'!D81,"")</f>
        <v/>
      </c>
      <c r="G84" s="49" t="str">
        <f>IF('Salesforce Dump'!E81&lt;&gt;"",'Salesforce Dump'!E81,"")</f>
        <v/>
      </c>
      <c r="H84" s="49" t="str">
        <f>IF('Salesforce Dump'!G81&lt;&gt;"",'Salesforce Dump'!G81,"")</f>
        <v/>
      </c>
      <c r="I84" s="49" t="str">
        <f>IF('Salesforce Dump'!H81&lt;&gt;"",'Salesforce Dump'!H81,"")</f>
        <v/>
      </c>
      <c r="J84" s="51" t="str">
        <f>IF('Salesforce Dump'!I81&lt;&gt;"",'Salesforce Dump'!I81,"")</f>
        <v/>
      </c>
      <c r="K84" s="51" t="str">
        <f>IF('Salesforce Dump'!J81&lt;&gt;"",'Salesforce Dump'!J81,"")</f>
        <v/>
      </c>
      <c r="L84" s="52" t="str">
        <f>IFERROR(INDEX('OBA Dump'!C:C,MATCH($E84*1,'OBA Dump'!$A:$A,0)),"")</f>
        <v/>
      </c>
      <c r="M84" s="52" t="str">
        <f>IFERROR(INDEX('OBA Dump'!D:D,MATCH($E84*1,'OBA Dump'!$A:$A,0)),"")</f>
        <v/>
      </c>
      <c r="N84" s="52"/>
      <c r="O84" s="52"/>
      <c r="P84" s="53"/>
      <c r="Q84" s="52"/>
      <c r="R84" s="38" t="str">
        <f>_xlfn.IFNA(VLOOKUP(E84,'Pre-Booked Holidays'!A:B,2,0),"")</f>
        <v/>
      </c>
      <c r="S84" s="38" t="str">
        <f>IF(E84="","",IF(IFERROR(VLOOKUP(E84,'Onbase Report'!D:E,2,0),"")&lt;&gt;"","Details in Onbase","No Details"))</f>
        <v/>
      </c>
    </row>
    <row r="85" spans="1:19" s="38" customFormat="1" ht="14.5" x14ac:dyDescent="0.35">
      <c r="A85" s="47" t="str">
        <f>IF('Salesforce Dump'!A82&lt;&gt;"",'Salesforce Dump'!A82,"")</f>
        <v/>
      </c>
      <c r="B85" s="48"/>
      <c r="C85" s="49" t="str">
        <f>IF('Salesforce Dump'!B82&lt;&gt;"",'Salesforce Dump'!B82,"")</f>
        <v/>
      </c>
      <c r="D85" s="48"/>
      <c r="E85" s="50" t="str">
        <f>IF('Salesforce Dump'!C82&lt;&gt;"",'Salesforce Dump'!C82,"")</f>
        <v/>
      </c>
      <c r="F85" s="49" t="str">
        <f>IF('Salesforce Dump'!D82&lt;&gt;"",'Salesforce Dump'!D82,"")</f>
        <v/>
      </c>
      <c r="G85" s="49" t="str">
        <f>IF('Salesforce Dump'!E82&lt;&gt;"",'Salesforce Dump'!E82,"")</f>
        <v/>
      </c>
      <c r="H85" s="49" t="str">
        <f>IF('Salesforce Dump'!G82&lt;&gt;"",'Salesforce Dump'!G82,"")</f>
        <v/>
      </c>
      <c r="I85" s="49" t="str">
        <f>IF('Salesforce Dump'!H82&lt;&gt;"",'Salesforce Dump'!H82,"")</f>
        <v/>
      </c>
      <c r="J85" s="51" t="str">
        <f>IF('Salesforce Dump'!I82&lt;&gt;"",'Salesforce Dump'!I82,"")</f>
        <v/>
      </c>
      <c r="K85" s="51" t="str">
        <f>IF('Salesforce Dump'!J82&lt;&gt;"",'Salesforce Dump'!J82,"")</f>
        <v/>
      </c>
      <c r="L85" s="52" t="str">
        <f>IFERROR(INDEX('OBA Dump'!C:C,MATCH($E85*1,'OBA Dump'!$A:$A,0)),"")</f>
        <v/>
      </c>
      <c r="M85" s="52" t="str">
        <f>IFERROR(INDEX('OBA Dump'!D:D,MATCH($E85*1,'OBA Dump'!$A:$A,0)),"")</f>
        <v/>
      </c>
      <c r="N85" s="52"/>
      <c r="O85" s="52"/>
      <c r="P85" s="53"/>
      <c r="Q85" s="52"/>
      <c r="R85" s="38" t="str">
        <f>_xlfn.IFNA(VLOOKUP(E85,'Pre-Booked Holidays'!A:B,2,0),"")</f>
        <v/>
      </c>
      <c r="S85" s="38" t="str">
        <f>IF(E85="","",IF(IFERROR(VLOOKUP(E85,'Onbase Report'!D:E,2,0),"")&lt;&gt;"","Details in Onbase","No Details"))</f>
        <v/>
      </c>
    </row>
    <row r="86" spans="1:19" s="38" customFormat="1" ht="14.5" x14ac:dyDescent="0.35">
      <c r="A86" s="47" t="str">
        <f>IF('Salesforce Dump'!A83&lt;&gt;"",'Salesforce Dump'!A83,"")</f>
        <v/>
      </c>
      <c r="B86" s="48"/>
      <c r="C86" s="49" t="str">
        <f>IF('Salesforce Dump'!B83&lt;&gt;"",'Salesforce Dump'!B83,"")</f>
        <v/>
      </c>
      <c r="D86" s="48"/>
      <c r="E86" s="50" t="str">
        <f>IF('Salesforce Dump'!C83&lt;&gt;"",'Salesforce Dump'!C83,"")</f>
        <v/>
      </c>
      <c r="F86" s="49" t="str">
        <f>IF('Salesforce Dump'!D83&lt;&gt;"",'Salesforce Dump'!D83,"")</f>
        <v/>
      </c>
      <c r="G86" s="49" t="str">
        <f>IF('Salesforce Dump'!E83&lt;&gt;"",'Salesforce Dump'!E83,"")</f>
        <v/>
      </c>
      <c r="H86" s="49" t="str">
        <f>IF('Salesforce Dump'!G83&lt;&gt;"",'Salesforce Dump'!G83,"")</f>
        <v/>
      </c>
      <c r="I86" s="49" t="str">
        <f>IF('Salesforce Dump'!H83&lt;&gt;"",'Salesforce Dump'!H83,"")</f>
        <v/>
      </c>
      <c r="J86" s="51" t="str">
        <f>IF('Salesforce Dump'!I83&lt;&gt;"",'Salesforce Dump'!I83,"")</f>
        <v/>
      </c>
      <c r="K86" s="51" t="str">
        <f>IF('Salesforce Dump'!J83&lt;&gt;"",'Salesforce Dump'!J83,"")</f>
        <v/>
      </c>
      <c r="L86" s="52" t="str">
        <f>IFERROR(INDEX('OBA Dump'!C:C,MATCH($E86*1,'OBA Dump'!$A:$A,0)),"")</f>
        <v/>
      </c>
      <c r="M86" s="52" t="str">
        <f>IFERROR(INDEX('OBA Dump'!D:D,MATCH($E86*1,'OBA Dump'!$A:$A,0)),"")</f>
        <v/>
      </c>
      <c r="N86" s="52"/>
      <c r="O86" s="52"/>
      <c r="P86" s="53"/>
      <c r="Q86" s="52"/>
      <c r="R86" s="38" t="str">
        <f>_xlfn.IFNA(VLOOKUP(E86,'Pre-Booked Holidays'!A:B,2,0),"")</f>
        <v/>
      </c>
      <c r="S86" s="38" t="str">
        <f>IF(E86="","",IF(IFERROR(VLOOKUP(E86,'Onbase Report'!D:E,2,0),"")&lt;&gt;"","Details in Onbase","No Details"))</f>
        <v/>
      </c>
    </row>
    <row r="87" spans="1:19" s="38" customFormat="1" ht="14.5" x14ac:dyDescent="0.35">
      <c r="A87" s="47" t="str">
        <f>IF('Salesforce Dump'!A84&lt;&gt;"",'Salesforce Dump'!A84,"")</f>
        <v/>
      </c>
      <c r="B87" s="48"/>
      <c r="C87" s="49" t="str">
        <f>IF('Salesforce Dump'!B84&lt;&gt;"",'Salesforce Dump'!B84,"")</f>
        <v/>
      </c>
      <c r="D87" s="48"/>
      <c r="E87" s="50" t="str">
        <f>IF('Salesforce Dump'!C84&lt;&gt;"",'Salesforce Dump'!C84,"")</f>
        <v/>
      </c>
      <c r="F87" s="49" t="str">
        <f>IF('Salesforce Dump'!D84&lt;&gt;"",'Salesforce Dump'!D84,"")</f>
        <v/>
      </c>
      <c r="G87" s="49" t="str">
        <f>IF('Salesforce Dump'!E84&lt;&gt;"",'Salesforce Dump'!E84,"")</f>
        <v/>
      </c>
      <c r="H87" s="49" t="str">
        <f>IF('Salesforce Dump'!G84&lt;&gt;"",'Salesforce Dump'!G84,"")</f>
        <v/>
      </c>
      <c r="I87" s="49" t="str">
        <f>IF('Salesforce Dump'!H84&lt;&gt;"",'Salesforce Dump'!H84,"")</f>
        <v/>
      </c>
      <c r="J87" s="51" t="str">
        <f>IF('Salesforce Dump'!I84&lt;&gt;"",'Salesforce Dump'!I84,"")</f>
        <v/>
      </c>
      <c r="K87" s="51" t="str">
        <f>IF('Salesforce Dump'!J84&lt;&gt;"",'Salesforce Dump'!J84,"")</f>
        <v/>
      </c>
      <c r="L87" s="52" t="str">
        <f>IFERROR(INDEX('OBA Dump'!C:C,MATCH($E87*1,'OBA Dump'!$A:$A,0)),"")</f>
        <v/>
      </c>
      <c r="M87" s="52" t="str">
        <f>IFERROR(INDEX('OBA Dump'!D:D,MATCH($E87*1,'OBA Dump'!$A:$A,0)),"")</f>
        <v/>
      </c>
      <c r="N87" s="52"/>
      <c r="O87" s="52"/>
      <c r="P87" s="53"/>
      <c r="Q87" s="52"/>
      <c r="R87" s="38" t="str">
        <f>_xlfn.IFNA(VLOOKUP(E87,'Pre-Booked Holidays'!A:B,2,0),"")</f>
        <v/>
      </c>
      <c r="S87" s="38" t="str">
        <f>IF(E87="","",IF(IFERROR(VLOOKUP(E87,'Onbase Report'!D:E,2,0),"")&lt;&gt;"","Details in Onbase","No Details"))</f>
        <v/>
      </c>
    </row>
    <row r="88" spans="1:19" s="38" customFormat="1" ht="14.5" x14ac:dyDescent="0.35">
      <c r="A88" s="47" t="str">
        <f>IF('Salesforce Dump'!A85&lt;&gt;"",'Salesforce Dump'!A85,"")</f>
        <v/>
      </c>
      <c r="B88" s="48"/>
      <c r="C88" s="49" t="str">
        <f>IF('Salesforce Dump'!B85&lt;&gt;"",'Salesforce Dump'!B85,"")</f>
        <v/>
      </c>
      <c r="D88" s="48"/>
      <c r="E88" s="50" t="str">
        <f>IF('Salesforce Dump'!C85&lt;&gt;"",'Salesforce Dump'!C85,"")</f>
        <v/>
      </c>
      <c r="F88" s="49" t="str">
        <f>IF('Salesforce Dump'!D85&lt;&gt;"",'Salesforce Dump'!D85,"")</f>
        <v/>
      </c>
      <c r="G88" s="49" t="str">
        <f>IF('Salesforce Dump'!E85&lt;&gt;"",'Salesforce Dump'!E85,"")</f>
        <v/>
      </c>
      <c r="H88" s="49" t="str">
        <f>IF('Salesforce Dump'!G85&lt;&gt;"",'Salesforce Dump'!G85,"")</f>
        <v/>
      </c>
      <c r="I88" s="49" t="str">
        <f>IF('Salesforce Dump'!H85&lt;&gt;"",'Salesforce Dump'!H85,"")</f>
        <v/>
      </c>
      <c r="J88" s="51" t="str">
        <f>IF('Salesforce Dump'!I85&lt;&gt;"",'Salesforce Dump'!I85,"")</f>
        <v/>
      </c>
      <c r="K88" s="51" t="str">
        <f>IF('Salesforce Dump'!J85&lt;&gt;"",'Salesforce Dump'!J85,"")</f>
        <v/>
      </c>
      <c r="L88" s="52" t="str">
        <f>IFERROR(INDEX('OBA Dump'!C:C,MATCH($E88*1,'OBA Dump'!$A:$A,0)),"")</f>
        <v/>
      </c>
      <c r="M88" s="52" t="str">
        <f>IFERROR(INDEX('OBA Dump'!D:D,MATCH($E88*1,'OBA Dump'!$A:$A,0)),"")</f>
        <v/>
      </c>
      <c r="N88" s="52"/>
      <c r="O88" s="52"/>
      <c r="P88" s="53"/>
      <c r="Q88" s="52"/>
      <c r="R88" s="38" t="str">
        <f>_xlfn.IFNA(VLOOKUP(E88,'Pre-Booked Holidays'!A:B,2,0),"")</f>
        <v/>
      </c>
      <c r="S88" s="38" t="str">
        <f>IF(E88="","",IF(IFERROR(VLOOKUP(E88,'Onbase Report'!D:E,2,0),"")&lt;&gt;"","Details in Onbase","No Details"))</f>
        <v/>
      </c>
    </row>
    <row r="89" spans="1:19" s="38" customFormat="1" ht="14.5" x14ac:dyDescent="0.35">
      <c r="A89" s="47" t="str">
        <f>IF('Salesforce Dump'!A86&lt;&gt;"",'Salesforce Dump'!A86,"")</f>
        <v/>
      </c>
      <c r="B89" s="48"/>
      <c r="C89" s="49" t="str">
        <f>IF('Salesforce Dump'!B86&lt;&gt;"",'Salesforce Dump'!B86,"")</f>
        <v/>
      </c>
      <c r="D89" s="48"/>
      <c r="E89" s="50" t="str">
        <f>IF('Salesforce Dump'!C86&lt;&gt;"",'Salesforce Dump'!C86,"")</f>
        <v/>
      </c>
      <c r="F89" s="49" t="str">
        <f>IF('Salesforce Dump'!D86&lt;&gt;"",'Salesforce Dump'!D86,"")</f>
        <v/>
      </c>
      <c r="G89" s="49" t="str">
        <f>IF('Salesforce Dump'!E86&lt;&gt;"",'Salesforce Dump'!E86,"")</f>
        <v/>
      </c>
      <c r="H89" s="49" t="str">
        <f>IF('Salesforce Dump'!G86&lt;&gt;"",'Salesforce Dump'!G86,"")</f>
        <v/>
      </c>
      <c r="I89" s="49" t="str">
        <f>IF('Salesforce Dump'!H86&lt;&gt;"",'Salesforce Dump'!H86,"")</f>
        <v/>
      </c>
      <c r="J89" s="51" t="str">
        <f>IF('Salesforce Dump'!I86&lt;&gt;"",'Salesforce Dump'!I86,"")</f>
        <v/>
      </c>
      <c r="K89" s="51" t="str">
        <f>IF('Salesforce Dump'!J86&lt;&gt;"",'Salesforce Dump'!J86,"")</f>
        <v/>
      </c>
      <c r="L89" s="52" t="str">
        <f>IFERROR(INDEX('OBA Dump'!C:C,MATCH($E89*1,'OBA Dump'!$A:$A,0)),"")</f>
        <v/>
      </c>
      <c r="M89" s="52" t="str">
        <f>IFERROR(INDEX('OBA Dump'!D:D,MATCH($E89*1,'OBA Dump'!$A:$A,0)),"")</f>
        <v/>
      </c>
      <c r="N89" s="52"/>
      <c r="O89" s="52"/>
      <c r="P89" s="53"/>
      <c r="Q89" s="52"/>
      <c r="R89" s="38" t="str">
        <f>_xlfn.IFNA(VLOOKUP(E89,'Pre-Booked Holidays'!A:B,2,0),"")</f>
        <v/>
      </c>
      <c r="S89" s="38" t="str">
        <f>IF(E89="","",IF(IFERROR(VLOOKUP(E89,'Onbase Report'!D:E,2,0),"")&lt;&gt;"","Details in Onbase","No Details"))</f>
        <v/>
      </c>
    </row>
    <row r="90" spans="1:19" s="38" customFormat="1" ht="14.5" x14ac:dyDescent="0.35">
      <c r="A90" s="47" t="str">
        <f>IF('Salesforce Dump'!A87&lt;&gt;"",'Salesforce Dump'!A87,"")</f>
        <v/>
      </c>
      <c r="B90" s="48"/>
      <c r="C90" s="49" t="str">
        <f>IF('Salesforce Dump'!B87&lt;&gt;"",'Salesforce Dump'!B87,"")</f>
        <v/>
      </c>
      <c r="D90" s="48"/>
      <c r="E90" s="50" t="str">
        <f>IF('Salesforce Dump'!C87&lt;&gt;"",'Salesforce Dump'!C87,"")</f>
        <v/>
      </c>
      <c r="F90" s="49" t="str">
        <f>IF('Salesforce Dump'!D87&lt;&gt;"",'Salesforce Dump'!D87,"")</f>
        <v/>
      </c>
      <c r="G90" s="49" t="str">
        <f>IF('Salesforce Dump'!E87&lt;&gt;"",'Salesforce Dump'!E87,"")</f>
        <v/>
      </c>
      <c r="H90" s="49" t="str">
        <f>IF('Salesforce Dump'!G87&lt;&gt;"",'Salesforce Dump'!G87,"")</f>
        <v/>
      </c>
      <c r="I90" s="49" t="str">
        <f>IF('Salesforce Dump'!H87&lt;&gt;"",'Salesforce Dump'!H87,"")</f>
        <v/>
      </c>
      <c r="J90" s="51" t="str">
        <f>IF('Salesforce Dump'!I87&lt;&gt;"",'Salesforce Dump'!I87,"")</f>
        <v/>
      </c>
      <c r="K90" s="51" t="str">
        <f>IF('Salesforce Dump'!J87&lt;&gt;"",'Salesforce Dump'!J87,"")</f>
        <v/>
      </c>
      <c r="L90" s="52" t="str">
        <f>IFERROR(INDEX('OBA Dump'!C:C,MATCH($E90*1,'OBA Dump'!$A:$A,0)),"")</f>
        <v/>
      </c>
      <c r="M90" s="52" t="str">
        <f>IFERROR(INDEX('OBA Dump'!D:D,MATCH($E90*1,'OBA Dump'!$A:$A,0)),"")</f>
        <v/>
      </c>
      <c r="N90" s="52"/>
      <c r="O90" s="52"/>
      <c r="P90" s="53"/>
      <c r="Q90" s="52"/>
      <c r="R90" s="38" t="str">
        <f>_xlfn.IFNA(VLOOKUP(E90,'Pre-Booked Holidays'!A:B,2,0),"")</f>
        <v/>
      </c>
      <c r="S90" s="38" t="str">
        <f>IF(E90="","",IF(IFERROR(VLOOKUP(E90,'Onbase Report'!D:E,2,0),"")&lt;&gt;"","Details in Onbase","No Details"))</f>
        <v/>
      </c>
    </row>
    <row r="91" spans="1:19" s="38" customFormat="1" ht="14.5" x14ac:dyDescent="0.35">
      <c r="A91" s="47" t="str">
        <f>IF('Salesforce Dump'!A88&lt;&gt;"",'Salesforce Dump'!A88,"")</f>
        <v/>
      </c>
      <c r="B91" s="48"/>
      <c r="C91" s="49" t="str">
        <f>IF('Salesforce Dump'!B88&lt;&gt;"",'Salesforce Dump'!B88,"")</f>
        <v/>
      </c>
      <c r="D91" s="48"/>
      <c r="E91" s="50" t="str">
        <f>IF('Salesforce Dump'!C88&lt;&gt;"",'Salesforce Dump'!C88,"")</f>
        <v/>
      </c>
      <c r="F91" s="49" t="str">
        <f>IF('Salesforce Dump'!D88&lt;&gt;"",'Salesforce Dump'!D88,"")</f>
        <v/>
      </c>
      <c r="G91" s="49" t="str">
        <f>IF('Salesforce Dump'!E88&lt;&gt;"",'Salesforce Dump'!E88,"")</f>
        <v/>
      </c>
      <c r="H91" s="49" t="str">
        <f>IF('Salesforce Dump'!G88&lt;&gt;"",'Salesforce Dump'!G88,"")</f>
        <v/>
      </c>
      <c r="I91" s="49" t="str">
        <f>IF('Salesforce Dump'!H88&lt;&gt;"",'Salesforce Dump'!H88,"")</f>
        <v/>
      </c>
      <c r="J91" s="51" t="str">
        <f>IF('Salesforce Dump'!I88&lt;&gt;"",'Salesforce Dump'!I88,"")</f>
        <v/>
      </c>
      <c r="K91" s="51" t="str">
        <f>IF('Salesforce Dump'!J88&lt;&gt;"",'Salesforce Dump'!J88,"")</f>
        <v/>
      </c>
      <c r="L91" s="52" t="str">
        <f>IFERROR(INDEX('OBA Dump'!C:C,MATCH($E91*1,'OBA Dump'!$A:$A,0)),"")</f>
        <v/>
      </c>
      <c r="M91" s="52" t="str">
        <f>IFERROR(INDEX('OBA Dump'!D:D,MATCH($E91*1,'OBA Dump'!$A:$A,0)),"")</f>
        <v/>
      </c>
      <c r="N91" s="52"/>
      <c r="O91" s="52"/>
      <c r="P91" s="53"/>
      <c r="Q91" s="52"/>
      <c r="R91" s="38" t="str">
        <f>_xlfn.IFNA(VLOOKUP(E91,'Pre-Booked Holidays'!A:B,2,0),"")</f>
        <v/>
      </c>
      <c r="S91" s="38" t="str">
        <f>IF(E91="","",IF(IFERROR(VLOOKUP(E91,'Onbase Report'!D:E,2,0),"")&lt;&gt;"","Details in Onbase","No Details"))</f>
        <v/>
      </c>
    </row>
    <row r="92" spans="1:19" s="38" customFormat="1" ht="14.5" x14ac:dyDescent="0.35">
      <c r="A92" s="47" t="str">
        <f>IF('Salesforce Dump'!A89&lt;&gt;"",'Salesforce Dump'!A89,"")</f>
        <v/>
      </c>
      <c r="B92" s="48"/>
      <c r="C92" s="49" t="str">
        <f>IF('Salesforce Dump'!B89&lt;&gt;"",'Salesforce Dump'!B89,"")</f>
        <v/>
      </c>
      <c r="D92" s="48"/>
      <c r="E92" s="50" t="str">
        <f>IF('Salesforce Dump'!C89&lt;&gt;"",'Salesforce Dump'!C89,"")</f>
        <v/>
      </c>
      <c r="F92" s="49" t="str">
        <f>IF('Salesforce Dump'!D89&lt;&gt;"",'Salesforce Dump'!D89,"")</f>
        <v/>
      </c>
      <c r="G92" s="49" t="str">
        <f>IF('Salesforce Dump'!E89&lt;&gt;"",'Salesforce Dump'!E89,"")</f>
        <v/>
      </c>
      <c r="H92" s="49" t="str">
        <f>IF('Salesforce Dump'!G89&lt;&gt;"",'Salesforce Dump'!G89,"")</f>
        <v/>
      </c>
      <c r="I92" s="49" t="str">
        <f>IF('Salesforce Dump'!H89&lt;&gt;"",'Salesforce Dump'!H89,"")</f>
        <v/>
      </c>
      <c r="J92" s="51" t="str">
        <f>IF('Salesforce Dump'!I89&lt;&gt;"",'Salesforce Dump'!I89,"")</f>
        <v/>
      </c>
      <c r="K92" s="51" t="str">
        <f>IF('Salesforce Dump'!J89&lt;&gt;"",'Salesforce Dump'!J89,"")</f>
        <v/>
      </c>
      <c r="L92" s="52" t="str">
        <f>IFERROR(INDEX('OBA Dump'!C:C,MATCH($E92*1,'OBA Dump'!$A:$A,0)),"")</f>
        <v/>
      </c>
      <c r="M92" s="52" t="str">
        <f>IFERROR(INDEX('OBA Dump'!D:D,MATCH($E92*1,'OBA Dump'!$A:$A,0)),"")</f>
        <v/>
      </c>
      <c r="N92" s="52"/>
      <c r="O92" s="52"/>
      <c r="P92" s="53"/>
      <c r="Q92" s="52"/>
      <c r="R92" s="38" t="str">
        <f>_xlfn.IFNA(VLOOKUP(E92,'Pre-Booked Holidays'!A:B,2,0),"")</f>
        <v/>
      </c>
      <c r="S92" s="38" t="str">
        <f>IF(E92="","",IF(IFERROR(VLOOKUP(E92,'Onbase Report'!D:E,2,0),"")&lt;&gt;"","Details in Onbase","No Details"))</f>
        <v/>
      </c>
    </row>
    <row r="93" spans="1:19" s="38" customFormat="1" ht="14.5" x14ac:dyDescent="0.35">
      <c r="A93" s="47" t="str">
        <f>IF('Salesforce Dump'!A90&lt;&gt;"",'Salesforce Dump'!A90,"")</f>
        <v/>
      </c>
      <c r="B93" s="48"/>
      <c r="C93" s="49" t="str">
        <f>IF('Salesforce Dump'!B90&lt;&gt;"",'Salesforce Dump'!B90,"")</f>
        <v/>
      </c>
      <c r="D93" s="48"/>
      <c r="E93" s="50" t="str">
        <f>IF('Salesforce Dump'!C90&lt;&gt;"",'Salesforce Dump'!C90,"")</f>
        <v/>
      </c>
      <c r="F93" s="49" t="str">
        <f>IF('Salesforce Dump'!D90&lt;&gt;"",'Salesforce Dump'!D90,"")</f>
        <v/>
      </c>
      <c r="G93" s="49" t="str">
        <f>IF('Salesforce Dump'!E90&lt;&gt;"",'Salesforce Dump'!E90,"")</f>
        <v/>
      </c>
      <c r="H93" s="49" t="str">
        <f>IF('Salesforce Dump'!G90&lt;&gt;"",'Salesforce Dump'!G90,"")</f>
        <v/>
      </c>
      <c r="I93" s="49" t="str">
        <f>IF('Salesforce Dump'!H90&lt;&gt;"",'Salesforce Dump'!H90,"")</f>
        <v/>
      </c>
      <c r="J93" s="51" t="str">
        <f>IF('Salesforce Dump'!I90&lt;&gt;"",'Salesforce Dump'!I90,"")</f>
        <v/>
      </c>
      <c r="K93" s="51" t="str">
        <f>IF('Salesforce Dump'!J90&lt;&gt;"",'Salesforce Dump'!J90,"")</f>
        <v/>
      </c>
      <c r="L93" s="52" t="str">
        <f>IFERROR(INDEX('OBA Dump'!C:C,MATCH($E93*1,'OBA Dump'!$A:$A,0)),"")</f>
        <v/>
      </c>
      <c r="M93" s="52" t="str">
        <f>IFERROR(INDEX('OBA Dump'!D:D,MATCH($E93*1,'OBA Dump'!$A:$A,0)),"")</f>
        <v/>
      </c>
      <c r="N93" s="52"/>
      <c r="O93" s="52"/>
      <c r="P93" s="53"/>
      <c r="Q93" s="52"/>
      <c r="R93" s="38" t="str">
        <f>_xlfn.IFNA(VLOOKUP(E93,'Pre-Booked Holidays'!A:B,2,0),"")</f>
        <v/>
      </c>
      <c r="S93" s="38" t="str">
        <f>IF(E93="","",IF(IFERROR(VLOOKUP(E93,'Onbase Report'!D:E,2,0),"")&lt;&gt;"","Details in Onbase","No Details"))</f>
        <v/>
      </c>
    </row>
    <row r="94" spans="1:19" s="38" customFormat="1" ht="14.5" x14ac:dyDescent="0.35">
      <c r="A94" s="47" t="str">
        <f>IF('Salesforce Dump'!A91&lt;&gt;"",'Salesforce Dump'!A91,"")</f>
        <v/>
      </c>
      <c r="B94" s="48"/>
      <c r="C94" s="49" t="str">
        <f>IF('Salesforce Dump'!B91&lt;&gt;"",'Salesforce Dump'!B91,"")</f>
        <v/>
      </c>
      <c r="D94" s="48"/>
      <c r="E94" s="50" t="str">
        <f>IF('Salesforce Dump'!C91&lt;&gt;"",'Salesforce Dump'!C91,"")</f>
        <v/>
      </c>
      <c r="F94" s="49" t="str">
        <f>IF('Salesforce Dump'!D91&lt;&gt;"",'Salesforce Dump'!D91,"")</f>
        <v/>
      </c>
      <c r="G94" s="49" t="str">
        <f>IF('Salesforce Dump'!E91&lt;&gt;"",'Salesforce Dump'!E91,"")</f>
        <v/>
      </c>
      <c r="H94" s="49" t="str">
        <f>IF('Salesforce Dump'!G91&lt;&gt;"",'Salesforce Dump'!G91,"")</f>
        <v/>
      </c>
      <c r="I94" s="49" t="str">
        <f>IF('Salesforce Dump'!H91&lt;&gt;"",'Salesforce Dump'!H91,"")</f>
        <v/>
      </c>
      <c r="J94" s="51" t="str">
        <f>IF('Salesforce Dump'!I91&lt;&gt;"",'Salesforce Dump'!I91,"")</f>
        <v/>
      </c>
      <c r="K94" s="51" t="str">
        <f>IF('Salesforce Dump'!J91&lt;&gt;"",'Salesforce Dump'!J91,"")</f>
        <v/>
      </c>
      <c r="L94" s="52" t="str">
        <f>IFERROR(INDEX('OBA Dump'!C:C,MATCH($E94*1,'OBA Dump'!$A:$A,0)),"")</f>
        <v/>
      </c>
      <c r="M94" s="52" t="str">
        <f>IFERROR(INDEX('OBA Dump'!D:D,MATCH($E94*1,'OBA Dump'!$A:$A,0)),"")</f>
        <v/>
      </c>
      <c r="N94" s="52"/>
      <c r="O94" s="52"/>
      <c r="P94" s="53"/>
      <c r="Q94" s="52"/>
      <c r="R94" s="38" t="str">
        <f>_xlfn.IFNA(VLOOKUP(E94,'Pre-Booked Holidays'!A:B,2,0),"")</f>
        <v/>
      </c>
      <c r="S94" s="38" t="str">
        <f>IF(E94="","",IF(IFERROR(VLOOKUP(E94,'Onbase Report'!D:E,2,0),"")&lt;&gt;"","Details in Onbase","No Details"))</f>
        <v/>
      </c>
    </row>
    <row r="95" spans="1:19" s="38" customFormat="1" ht="14.5" x14ac:dyDescent="0.35">
      <c r="A95" s="47" t="str">
        <f>IF('Salesforce Dump'!A92&lt;&gt;"",'Salesforce Dump'!A92,"")</f>
        <v/>
      </c>
      <c r="B95" s="48"/>
      <c r="C95" s="49" t="str">
        <f>IF('Salesforce Dump'!B92&lt;&gt;"",'Salesforce Dump'!B92,"")</f>
        <v/>
      </c>
      <c r="D95" s="48"/>
      <c r="E95" s="50" t="str">
        <f>IF('Salesforce Dump'!C92&lt;&gt;"",'Salesforce Dump'!C92,"")</f>
        <v/>
      </c>
      <c r="F95" s="49" t="str">
        <f>IF('Salesforce Dump'!D92&lt;&gt;"",'Salesforce Dump'!D92,"")</f>
        <v/>
      </c>
      <c r="G95" s="49" t="str">
        <f>IF('Salesforce Dump'!E92&lt;&gt;"",'Salesforce Dump'!E92,"")</f>
        <v/>
      </c>
      <c r="H95" s="49" t="str">
        <f>IF('Salesforce Dump'!G92&lt;&gt;"",'Salesforce Dump'!G92,"")</f>
        <v/>
      </c>
      <c r="I95" s="49" t="str">
        <f>IF('Salesforce Dump'!H92&lt;&gt;"",'Salesforce Dump'!H92,"")</f>
        <v/>
      </c>
      <c r="J95" s="51" t="str">
        <f>IF('Salesforce Dump'!I92&lt;&gt;"",'Salesforce Dump'!I92,"")</f>
        <v/>
      </c>
      <c r="K95" s="51" t="str">
        <f>IF('Salesforce Dump'!J92&lt;&gt;"",'Salesforce Dump'!J92,"")</f>
        <v/>
      </c>
      <c r="L95" s="52" t="str">
        <f>IFERROR(INDEX('OBA Dump'!C:C,MATCH($E95*1,'OBA Dump'!$A:$A,0)),"")</f>
        <v/>
      </c>
      <c r="M95" s="52" t="str">
        <f>IFERROR(INDEX('OBA Dump'!D:D,MATCH($E95*1,'OBA Dump'!$A:$A,0)),"")</f>
        <v/>
      </c>
      <c r="N95" s="52"/>
      <c r="O95" s="52"/>
      <c r="P95" s="53"/>
      <c r="Q95" s="52"/>
      <c r="R95" s="38" t="str">
        <f>_xlfn.IFNA(VLOOKUP(E95,'Pre-Booked Holidays'!A:B,2,0),"")</f>
        <v/>
      </c>
      <c r="S95" s="38" t="str">
        <f>IF(E95="","",IF(IFERROR(VLOOKUP(E95,'Onbase Report'!D:E,2,0),"")&lt;&gt;"","Details in Onbase","No Details"))</f>
        <v/>
      </c>
    </row>
    <row r="96" spans="1:19" s="38" customFormat="1" ht="14.5" x14ac:dyDescent="0.35">
      <c r="A96" s="47" t="str">
        <f>IF('Salesforce Dump'!A93&lt;&gt;"",'Salesforce Dump'!A93,"")</f>
        <v/>
      </c>
      <c r="B96" s="48"/>
      <c r="C96" s="49" t="str">
        <f>IF('Salesforce Dump'!B93&lt;&gt;"",'Salesforce Dump'!B93,"")</f>
        <v/>
      </c>
      <c r="D96" s="48"/>
      <c r="E96" s="50" t="str">
        <f>IF('Salesforce Dump'!C93&lt;&gt;"",'Salesforce Dump'!C93,"")</f>
        <v/>
      </c>
      <c r="F96" s="49" t="str">
        <f>IF('Salesforce Dump'!D93&lt;&gt;"",'Salesforce Dump'!D93,"")</f>
        <v/>
      </c>
      <c r="G96" s="49" t="str">
        <f>IF('Salesforce Dump'!E93&lt;&gt;"",'Salesforce Dump'!E93,"")</f>
        <v/>
      </c>
      <c r="H96" s="49" t="str">
        <f>IF('Salesforce Dump'!G93&lt;&gt;"",'Salesforce Dump'!G93,"")</f>
        <v/>
      </c>
      <c r="I96" s="49" t="str">
        <f>IF('Salesforce Dump'!H93&lt;&gt;"",'Salesforce Dump'!H93,"")</f>
        <v/>
      </c>
      <c r="J96" s="51" t="str">
        <f>IF('Salesforce Dump'!I93&lt;&gt;"",'Salesforce Dump'!I93,"")</f>
        <v/>
      </c>
      <c r="K96" s="51" t="str">
        <f>IF('Salesforce Dump'!J93&lt;&gt;"",'Salesforce Dump'!J93,"")</f>
        <v/>
      </c>
      <c r="L96" s="52" t="str">
        <f>IFERROR(INDEX('OBA Dump'!C:C,MATCH($E96*1,'OBA Dump'!$A:$A,0)),"")</f>
        <v/>
      </c>
      <c r="M96" s="52" t="str">
        <f>IFERROR(INDEX('OBA Dump'!D:D,MATCH($E96*1,'OBA Dump'!$A:$A,0)),"")</f>
        <v/>
      </c>
      <c r="N96" s="52"/>
      <c r="O96" s="52"/>
      <c r="P96" s="53"/>
      <c r="Q96" s="52"/>
      <c r="R96" s="38" t="str">
        <f>_xlfn.IFNA(VLOOKUP(E96,'Pre-Booked Holidays'!A:B,2,0),"")</f>
        <v/>
      </c>
      <c r="S96" s="38" t="str">
        <f>IF(E96="","",IF(IFERROR(VLOOKUP(E96,'Onbase Report'!D:E,2,0),"")&lt;&gt;"","Details in Onbase","No Details"))</f>
        <v/>
      </c>
    </row>
    <row r="97" spans="1:19" s="38" customFormat="1" ht="14.5" x14ac:dyDescent="0.35">
      <c r="A97" s="47" t="str">
        <f>IF('Salesforce Dump'!A94&lt;&gt;"",'Salesforce Dump'!A94,"")</f>
        <v/>
      </c>
      <c r="B97" s="48"/>
      <c r="C97" s="49" t="str">
        <f>IF('Salesforce Dump'!B94&lt;&gt;"",'Salesforce Dump'!B94,"")</f>
        <v/>
      </c>
      <c r="D97" s="48"/>
      <c r="E97" s="50" t="str">
        <f>IF('Salesforce Dump'!C94&lt;&gt;"",'Salesforce Dump'!C94,"")</f>
        <v/>
      </c>
      <c r="F97" s="49" t="str">
        <f>IF('Salesforce Dump'!D94&lt;&gt;"",'Salesforce Dump'!D94,"")</f>
        <v/>
      </c>
      <c r="G97" s="49" t="str">
        <f>IF('Salesforce Dump'!E94&lt;&gt;"",'Salesforce Dump'!E94,"")</f>
        <v/>
      </c>
      <c r="H97" s="49" t="str">
        <f>IF('Salesforce Dump'!G94&lt;&gt;"",'Salesforce Dump'!G94,"")</f>
        <v/>
      </c>
      <c r="I97" s="49" t="str">
        <f>IF('Salesforce Dump'!H94&lt;&gt;"",'Salesforce Dump'!H94,"")</f>
        <v/>
      </c>
      <c r="J97" s="51" t="str">
        <f>IF('Salesforce Dump'!I94&lt;&gt;"",'Salesforce Dump'!I94,"")</f>
        <v/>
      </c>
      <c r="K97" s="51" t="str">
        <f>IF('Salesforce Dump'!J94&lt;&gt;"",'Salesforce Dump'!J94,"")</f>
        <v/>
      </c>
      <c r="L97" s="52" t="str">
        <f>IFERROR(INDEX('OBA Dump'!C:C,MATCH($E97*1,'OBA Dump'!$A:$A,0)),"")</f>
        <v/>
      </c>
      <c r="M97" s="52" t="str">
        <f>IFERROR(INDEX('OBA Dump'!D:D,MATCH($E97*1,'OBA Dump'!$A:$A,0)),"")</f>
        <v/>
      </c>
      <c r="N97" s="52"/>
      <c r="O97" s="52"/>
      <c r="P97" s="53"/>
      <c r="Q97" s="52"/>
      <c r="R97" s="38" t="str">
        <f>_xlfn.IFNA(VLOOKUP(E97,'Pre-Booked Holidays'!A:B,2,0),"")</f>
        <v/>
      </c>
      <c r="S97" s="38" t="str">
        <f>IF(E97="","",IF(IFERROR(VLOOKUP(E97,'Onbase Report'!D:E,2,0),"")&lt;&gt;"","Details in Onbase","No Details"))</f>
        <v/>
      </c>
    </row>
    <row r="98" spans="1:19" s="38" customFormat="1" ht="14.5" x14ac:dyDescent="0.35">
      <c r="A98" s="47" t="str">
        <f>IF('Salesforce Dump'!A95&lt;&gt;"",'Salesforce Dump'!A95,"")</f>
        <v/>
      </c>
      <c r="B98" s="48"/>
      <c r="C98" s="49" t="str">
        <f>IF('Salesforce Dump'!B95&lt;&gt;"",'Salesforce Dump'!B95,"")</f>
        <v/>
      </c>
      <c r="D98" s="48"/>
      <c r="E98" s="50" t="str">
        <f>IF('Salesforce Dump'!C95&lt;&gt;"",'Salesforce Dump'!C95,"")</f>
        <v/>
      </c>
      <c r="F98" s="49" t="str">
        <f>IF('Salesforce Dump'!D95&lt;&gt;"",'Salesforce Dump'!D95,"")</f>
        <v/>
      </c>
      <c r="G98" s="49" t="str">
        <f>IF('Salesforce Dump'!E95&lt;&gt;"",'Salesforce Dump'!E95,"")</f>
        <v/>
      </c>
      <c r="H98" s="49" t="str">
        <f>IF('Salesforce Dump'!G95&lt;&gt;"",'Salesforce Dump'!G95,"")</f>
        <v/>
      </c>
      <c r="I98" s="49" t="str">
        <f>IF('Salesforce Dump'!H95&lt;&gt;"",'Salesforce Dump'!H95,"")</f>
        <v/>
      </c>
      <c r="J98" s="51" t="str">
        <f>IF('Salesforce Dump'!I95&lt;&gt;"",'Salesforce Dump'!I95,"")</f>
        <v/>
      </c>
      <c r="K98" s="51" t="str">
        <f>IF('Salesforce Dump'!J95&lt;&gt;"",'Salesforce Dump'!J95,"")</f>
        <v/>
      </c>
      <c r="L98" s="52" t="str">
        <f>IFERROR(INDEX('OBA Dump'!C:C,MATCH($E98*1,'OBA Dump'!$A:$A,0)),"")</f>
        <v/>
      </c>
      <c r="M98" s="52" t="str">
        <f>IFERROR(INDEX('OBA Dump'!D:D,MATCH($E98*1,'OBA Dump'!$A:$A,0)),"")</f>
        <v/>
      </c>
      <c r="N98" s="52"/>
      <c r="O98" s="52"/>
      <c r="P98" s="53"/>
      <c r="Q98" s="52"/>
      <c r="R98" s="38" t="str">
        <f>_xlfn.IFNA(VLOOKUP(E98,'Pre-Booked Holidays'!A:B,2,0),"")</f>
        <v/>
      </c>
      <c r="S98" s="38" t="str">
        <f>IF(E98="","",IF(IFERROR(VLOOKUP(E98,'Onbase Report'!D:E,2,0),"")&lt;&gt;"","Details in Onbase","No Details"))</f>
        <v/>
      </c>
    </row>
    <row r="99" spans="1:19" s="38" customFormat="1" ht="14.5" x14ac:dyDescent="0.35">
      <c r="A99" s="47" t="str">
        <f>IF('Salesforce Dump'!A96&lt;&gt;"",'Salesforce Dump'!A96,"")</f>
        <v/>
      </c>
      <c r="B99" s="48"/>
      <c r="C99" s="49" t="str">
        <f>IF('Salesforce Dump'!B96&lt;&gt;"",'Salesforce Dump'!B96,"")</f>
        <v/>
      </c>
      <c r="D99" s="48"/>
      <c r="E99" s="50" t="str">
        <f>IF('Salesforce Dump'!C96&lt;&gt;"",'Salesforce Dump'!C96,"")</f>
        <v/>
      </c>
      <c r="F99" s="49" t="str">
        <f>IF('Salesforce Dump'!D96&lt;&gt;"",'Salesforce Dump'!D96,"")</f>
        <v/>
      </c>
      <c r="G99" s="49" t="str">
        <f>IF('Salesforce Dump'!E96&lt;&gt;"",'Salesforce Dump'!E96,"")</f>
        <v/>
      </c>
      <c r="H99" s="49" t="str">
        <f>IF('Salesforce Dump'!G96&lt;&gt;"",'Salesforce Dump'!G96,"")</f>
        <v/>
      </c>
      <c r="I99" s="49" t="str">
        <f>IF('Salesforce Dump'!H96&lt;&gt;"",'Salesforce Dump'!H96,"")</f>
        <v/>
      </c>
      <c r="J99" s="51" t="str">
        <f>IF('Salesforce Dump'!I96&lt;&gt;"",'Salesforce Dump'!I96,"")</f>
        <v/>
      </c>
      <c r="K99" s="51" t="str">
        <f>IF('Salesforce Dump'!J96&lt;&gt;"",'Salesforce Dump'!J96,"")</f>
        <v/>
      </c>
      <c r="L99" s="52" t="str">
        <f>IFERROR(INDEX('OBA Dump'!C:C,MATCH($E99*1,'OBA Dump'!$A:$A,0)),"")</f>
        <v/>
      </c>
      <c r="M99" s="52" t="str">
        <f>IFERROR(INDEX('OBA Dump'!D:D,MATCH($E99*1,'OBA Dump'!$A:$A,0)),"")</f>
        <v/>
      </c>
      <c r="N99" s="52"/>
      <c r="O99" s="52"/>
      <c r="P99" s="53"/>
      <c r="Q99" s="52"/>
      <c r="R99" s="38" t="str">
        <f>_xlfn.IFNA(VLOOKUP(E99,'Pre-Booked Holidays'!A:B,2,0),"")</f>
        <v/>
      </c>
      <c r="S99" s="38" t="str">
        <f>IF(E99="","",IF(IFERROR(VLOOKUP(E99,'Onbase Report'!D:E,2,0),"")&lt;&gt;"","Details in Onbase","No Details"))</f>
        <v/>
      </c>
    </row>
    <row r="100" spans="1:19" s="38" customFormat="1" ht="14.5" x14ac:dyDescent="0.35">
      <c r="A100" s="47" t="str">
        <f>IF('Salesforce Dump'!A97&lt;&gt;"",'Salesforce Dump'!A97,"")</f>
        <v/>
      </c>
      <c r="B100" s="48"/>
      <c r="C100" s="49" t="str">
        <f>IF('Salesforce Dump'!B97&lt;&gt;"",'Salesforce Dump'!B97,"")</f>
        <v/>
      </c>
      <c r="D100" s="48"/>
      <c r="E100" s="50" t="str">
        <f>IF('Salesforce Dump'!C97&lt;&gt;"",'Salesforce Dump'!C97,"")</f>
        <v/>
      </c>
      <c r="F100" s="49" t="str">
        <f>IF('Salesforce Dump'!D97&lt;&gt;"",'Salesforce Dump'!D97,"")</f>
        <v/>
      </c>
      <c r="G100" s="49" t="str">
        <f>IF('Salesforce Dump'!E97&lt;&gt;"",'Salesforce Dump'!E97,"")</f>
        <v/>
      </c>
      <c r="H100" s="49" t="str">
        <f>IF('Salesforce Dump'!G97&lt;&gt;"",'Salesforce Dump'!G97,"")</f>
        <v/>
      </c>
      <c r="I100" s="49" t="str">
        <f>IF('Salesforce Dump'!H97&lt;&gt;"",'Salesforce Dump'!H97,"")</f>
        <v/>
      </c>
      <c r="J100" s="51" t="str">
        <f>IF('Salesforce Dump'!I97&lt;&gt;"",'Salesforce Dump'!I97,"")</f>
        <v/>
      </c>
      <c r="K100" s="51" t="str">
        <f>IF('Salesforce Dump'!J97&lt;&gt;"",'Salesforce Dump'!J97,"")</f>
        <v/>
      </c>
      <c r="L100" s="52" t="str">
        <f>IFERROR(INDEX('OBA Dump'!C:C,MATCH($E100*1,'OBA Dump'!$A:$A,0)),"")</f>
        <v/>
      </c>
      <c r="M100" s="52" t="str">
        <f>IFERROR(INDEX('OBA Dump'!D:D,MATCH($E100*1,'OBA Dump'!$A:$A,0)),"")</f>
        <v/>
      </c>
      <c r="N100" s="52"/>
      <c r="O100" s="52"/>
      <c r="P100" s="53"/>
      <c r="Q100" s="52"/>
      <c r="R100" s="38" t="str">
        <f>_xlfn.IFNA(VLOOKUP(E100,'Pre-Booked Holidays'!A:B,2,0),"")</f>
        <v/>
      </c>
      <c r="S100" s="38" t="str">
        <f>IF(E100="","",IF(IFERROR(VLOOKUP(E100,'Onbase Report'!D:E,2,0),"")&lt;&gt;"","Details in Onbase","No Details"))</f>
        <v/>
      </c>
    </row>
    <row r="101" spans="1:19" s="38" customFormat="1" ht="14.5" x14ac:dyDescent="0.35">
      <c r="A101" s="47" t="str">
        <f>IF('Salesforce Dump'!A98&lt;&gt;"",'Salesforce Dump'!A98,"")</f>
        <v/>
      </c>
      <c r="B101" s="48"/>
      <c r="C101" s="49" t="str">
        <f>IF('Salesforce Dump'!B98&lt;&gt;"",'Salesforce Dump'!B98,"")</f>
        <v/>
      </c>
      <c r="D101" s="48"/>
      <c r="E101" s="50" t="str">
        <f>IF('Salesforce Dump'!C98&lt;&gt;"",'Salesforce Dump'!C98,"")</f>
        <v/>
      </c>
      <c r="F101" s="49" t="str">
        <f>IF('Salesforce Dump'!D98&lt;&gt;"",'Salesforce Dump'!D98,"")</f>
        <v/>
      </c>
      <c r="G101" s="49" t="str">
        <f>IF('Salesforce Dump'!E98&lt;&gt;"",'Salesforce Dump'!E98,"")</f>
        <v/>
      </c>
      <c r="H101" s="49" t="str">
        <f>IF('Salesforce Dump'!G98&lt;&gt;"",'Salesforce Dump'!G98,"")</f>
        <v/>
      </c>
      <c r="I101" s="49" t="str">
        <f>IF('Salesforce Dump'!H98&lt;&gt;"",'Salesforce Dump'!H98,"")</f>
        <v/>
      </c>
      <c r="J101" s="51" t="str">
        <f>IF('Salesforce Dump'!I98&lt;&gt;"",'Salesforce Dump'!I98,"")</f>
        <v/>
      </c>
      <c r="K101" s="51" t="str">
        <f>IF('Salesforce Dump'!J98&lt;&gt;"",'Salesforce Dump'!J98,"")</f>
        <v/>
      </c>
      <c r="L101" s="52" t="str">
        <f>IFERROR(INDEX('OBA Dump'!C:C,MATCH($E101*1,'OBA Dump'!$A:$A,0)),"")</f>
        <v/>
      </c>
      <c r="M101" s="52" t="str">
        <f>IFERROR(INDEX('OBA Dump'!D:D,MATCH($E101*1,'OBA Dump'!$A:$A,0)),"")</f>
        <v/>
      </c>
      <c r="N101" s="52"/>
      <c r="O101" s="52"/>
      <c r="P101" s="53"/>
      <c r="Q101" s="52"/>
      <c r="R101" s="38" t="str">
        <f>_xlfn.IFNA(VLOOKUP(E101,'Pre-Booked Holidays'!A:B,2,0),"")</f>
        <v/>
      </c>
      <c r="S101" s="38" t="str">
        <f>IF(E101="","",IF(IFERROR(VLOOKUP(E101,'Onbase Report'!D:E,2,0),"")&lt;&gt;"","Details in Onbase","No Details"))</f>
        <v/>
      </c>
    </row>
    <row r="102" spans="1:19" ht="14.5" x14ac:dyDescent="0.35">
      <c r="A102" s="47" t="str">
        <f>IF('Salesforce Dump'!A99&lt;&gt;"",'Salesforce Dump'!A99,"")</f>
        <v/>
      </c>
      <c r="B102" s="48"/>
      <c r="C102" s="49" t="str">
        <f>IF('Salesforce Dump'!B99&lt;&gt;"",'Salesforce Dump'!B99,"")</f>
        <v/>
      </c>
      <c r="D102" s="48"/>
      <c r="E102" s="50" t="str">
        <f>IF('Salesforce Dump'!C99&lt;&gt;"",'Salesforce Dump'!C99,"")</f>
        <v/>
      </c>
      <c r="F102" s="49" t="str">
        <f>IF('Salesforce Dump'!D99&lt;&gt;"",'Salesforce Dump'!D99,"")</f>
        <v/>
      </c>
      <c r="G102" s="49" t="str">
        <f>IF('Salesforce Dump'!E99&lt;&gt;"",'Salesforce Dump'!E99,"")</f>
        <v/>
      </c>
      <c r="H102" s="49" t="str">
        <f>IF('Salesforce Dump'!G99&lt;&gt;"",'Salesforce Dump'!G99,"")</f>
        <v/>
      </c>
      <c r="I102" s="49" t="str">
        <f>IF('Salesforce Dump'!H99&lt;&gt;"",'Salesforce Dump'!H99,"")</f>
        <v/>
      </c>
      <c r="J102" s="51" t="str">
        <f>IF('Salesforce Dump'!I99&lt;&gt;"",'Salesforce Dump'!I99,"")</f>
        <v/>
      </c>
      <c r="K102" s="51" t="str">
        <f>IF('Salesforce Dump'!J99&lt;&gt;"",'Salesforce Dump'!J99,"")</f>
        <v/>
      </c>
      <c r="L102" s="52" t="str">
        <f>IFERROR(INDEX('OBA Dump'!C:C,MATCH($E102*1,'OBA Dump'!$A:$A,0)),"")</f>
        <v/>
      </c>
      <c r="M102" s="52" t="str">
        <f>IFERROR(INDEX('OBA Dump'!D:D,MATCH($E102*1,'OBA Dump'!$A:$A,0)),"")</f>
        <v/>
      </c>
      <c r="N102" s="52"/>
      <c r="O102" s="52"/>
      <c r="P102" s="53"/>
      <c r="Q102" s="52"/>
      <c r="R102" s="38" t="str">
        <f>_xlfn.IFNA(VLOOKUP(E102,'Pre-Booked Holidays'!A:B,2,0),"")</f>
        <v/>
      </c>
      <c r="S102" s="38" t="str">
        <f>IF(E102="","",IF(IFERROR(VLOOKUP(E102,'Onbase Report'!D:E,2,0),"")&lt;&gt;"","Details in Onbase","No Details"))</f>
        <v/>
      </c>
    </row>
    <row r="103" spans="1:19" ht="14.5" x14ac:dyDescent="0.35">
      <c r="A103" s="47" t="str">
        <f>IF('Salesforce Dump'!A100&lt;&gt;"",'Salesforce Dump'!A100,"")</f>
        <v/>
      </c>
      <c r="B103" s="48"/>
      <c r="C103" s="49" t="str">
        <f>IF('Salesforce Dump'!B100&lt;&gt;"",'Salesforce Dump'!B100,"")</f>
        <v/>
      </c>
      <c r="D103" s="48"/>
      <c r="E103" s="50" t="str">
        <f>IF('Salesforce Dump'!C100&lt;&gt;"",'Salesforce Dump'!C100,"")</f>
        <v/>
      </c>
      <c r="F103" s="49" t="str">
        <f>IF('Salesforce Dump'!D100&lt;&gt;"",'Salesforce Dump'!D100,"")</f>
        <v/>
      </c>
      <c r="G103" s="49" t="str">
        <f>IF('Salesforce Dump'!E100&lt;&gt;"",'Salesforce Dump'!E100,"")</f>
        <v/>
      </c>
      <c r="H103" s="49" t="str">
        <f>IF('Salesforce Dump'!G100&lt;&gt;"",'Salesforce Dump'!G100,"")</f>
        <v/>
      </c>
      <c r="I103" s="49" t="str">
        <f>IF('Salesforce Dump'!H100&lt;&gt;"",'Salesforce Dump'!H100,"")</f>
        <v/>
      </c>
      <c r="J103" s="51" t="str">
        <f>IF('Salesforce Dump'!I100&lt;&gt;"",'Salesforce Dump'!I100,"")</f>
        <v/>
      </c>
      <c r="K103" s="51" t="str">
        <f>IF('Salesforce Dump'!J100&lt;&gt;"",'Salesforce Dump'!J100,"")</f>
        <v/>
      </c>
      <c r="L103" s="52" t="str">
        <f>IFERROR(INDEX('OBA Dump'!C:C,MATCH($E103*1,'OBA Dump'!$A:$A,0)),"")</f>
        <v/>
      </c>
      <c r="M103" s="52" t="str">
        <f>IFERROR(INDEX('OBA Dump'!D:D,MATCH($E103*1,'OBA Dump'!$A:$A,0)),"")</f>
        <v/>
      </c>
      <c r="N103" s="52"/>
      <c r="O103" s="52"/>
      <c r="P103" s="53"/>
      <c r="Q103" s="52"/>
      <c r="R103" s="38" t="str">
        <f>_xlfn.IFNA(VLOOKUP(E103,'Pre-Booked Holidays'!A:B,2,0),"")</f>
        <v/>
      </c>
      <c r="S103" s="38" t="str">
        <f>IF(E103="","",IF(IFERROR(VLOOKUP(E103,'Onbase Report'!D:E,2,0),"")&lt;&gt;"","Details in Onbase","No Details"))</f>
        <v/>
      </c>
    </row>
    <row r="104" spans="1:19" ht="14.5" x14ac:dyDescent="0.35">
      <c r="A104" s="47" t="str">
        <f>IF('Salesforce Dump'!A101&lt;&gt;"",'Salesforce Dump'!A101,"")</f>
        <v/>
      </c>
      <c r="B104" s="48"/>
      <c r="C104" s="49" t="str">
        <f>IF('Salesforce Dump'!B101&lt;&gt;"",'Salesforce Dump'!B101,"")</f>
        <v/>
      </c>
      <c r="D104" s="48"/>
      <c r="E104" s="50" t="str">
        <f>IF('Salesforce Dump'!C101&lt;&gt;"",'Salesforce Dump'!C101,"")</f>
        <v/>
      </c>
      <c r="F104" s="49" t="str">
        <f>IF('Salesforce Dump'!D101&lt;&gt;"",'Salesforce Dump'!D101,"")</f>
        <v/>
      </c>
      <c r="G104" s="49" t="str">
        <f>IF('Salesforce Dump'!E101&lt;&gt;"",'Salesforce Dump'!E101,"")</f>
        <v/>
      </c>
      <c r="H104" s="49" t="str">
        <f>IF('Salesforce Dump'!G101&lt;&gt;"",'Salesforce Dump'!G101,"")</f>
        <v/>
      </c>
      <c r="I104" s="49" t="str">
        <f>IF('Salesforce Dump'!H101&lt;&gt;"",'Salesforce Dump'!H101,"")</f>
        <v/>
      </c>
      <c r="J104" s="51" t="str">
        <f>IF('Salesforce Dump'!I101&lt;&gt;"",'Salesforce Dump'!I101,"")</f>
        <v/>
      </c>
      <c r="K104" s="51" t="str">
        <f>IF('Salesforce Dump'!J101&lt;&gt;"",'Salesforce Dump'!J101,"")</f>
        <v/>
      </c>
      <c r="L104" s="52" t="str">
        <f>IFERROR(INDEX('OBA Dump'!C:C,MATCH($E104*1,'OBA Dump'!$A:$A,0)),"")</f>
        <v/>
      </c>
      <c r="M104" s="52" t="str">
        <f>IFERROR(INDEX('OBA Dump'!D:D,MATCH($E104*1,'OBA Dump'!$A:$A,0)),"")</f>
        <v/>
      </c>
      <c r="N104" s="52"/>
      <c r="O104" s="52"/>
      <c r="P104" s="53"/>
      <c r="Q104" s="52"/>
      <c r="R104" s="38" t="str">
        <f>_xlfn.IFNA(VLOOKUP(E104,'Pre-Booked Holidays'!A:B,2,0),"")</f>
        <v/>
      </c>
      <c r="S104" s="38" t="str">
        <f>IF(E104="","",IF(IFERROR(VLOOKUP(E104,'Onbase Report'!D:E,2,0),"")&lt;&gt;"","Details in Onbase","No Details"))</f>
        <v/>
      </c>
    </row>
  </sheetData>
  <sheetProtection selectLockedCells="1" selectUnlockedCells="1"/>
  <mergeCells count="5">
    <mergeCell ref="B1:B3"/>
    <mergeCell ref="D1:D3"/>
    <mergeCell ref="E3:S3"/>
    <mergeCell ref="E2:S2"/>
    <mergeCell ref="E1:S1"/>
  </mergeCells>
  <conditionalFormatting sqref="P5:P104">
    <cfRule type="cellIs" dxfId="4" priority="5" operator="equal">
      <formula>"N"</formula>
    </cfRule>
  </conditionalFormatting>
  <conditionalFormatting sqref="S1:S1048576">
    <cfRule type="containsText" dxfId="3" priority="1" operator="containsText" text="Details in Onbase">
      <formula>NOT(ISERROR(SEARCH("Details in Onbase",S1)))</formula>
    </cfRule>
    <cfRule type="containsText" dxfId="2" priority="2" operator="containsText" text="No Details">
      <formula>NOT(ISERROR(SEARCH("No Details",S1)))</formula>
    </cfRule>
  </conditionalFormatting>
  <dataValidations count="3">
    <dataValidation type="list" allowBlank="1" showInputMessage="1" showErrorMessage="1" sqref="P5:P104" xr:uid="{FA2E443E-38C8-4BFD-834F-1FF2EC48BE4D}">
      <formula1>"Unable to contact,Illness,Failed H&amp;S test,Personal circumstances,Shift not suitable,Attended too late,Travel issues,Took another role,Staying in previous job,Other"</formula1>
    </dataValidation>
    <dataValidation type="list" allowBlank="1" showInputMessage="1" showErrorMessage="1" sqref="N5:N104" xr:uid="{83D520E4-0EC8-48F5-BD2A-57C891755A05}">
      <formula1>"Y,N"</formula1>
    </dataValidation>
    <dataValidation type="list" allowBlank="1" showInputMessage="1" showErrorMessage="1" sqref="O5:O104" xr:uid="{F8A2BDF5-8A12-4201-8A31-BE0DB9C0B710}">
      <formula1>"Y,N,F"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5DCE-5867-4C4F-B2CA-21464A939CBC}">
  <sheetPr codeName="Sheet7"/>
  <dimension ref="A1:K2"/>
  <sheetViews>
    <sheetView tabSelected="1" workbookViewId="0">
      <selection activeCell="M18" sqref="M18"/>
    </sheetView>
  </sheetViews>
  <sheetFormatPr defaultColWidth="8.7265625" defaultRowHeight="14.5" x14ac:dyDescent="0.35"/>
  <cols>
    <col min="1" max="16384" width="8.7265625" style="59"/>
  </cols>
  <sheetData>
    <row r="1" spans="1:11" x14ac:dyDescent="0.35">
      <c r="A1" s="59" t="s">
        <v>48</v>
      </c>
      <c r="B1" s="59" t="s">
        <v>49</v>
      </c>
      <c r="C1" s="59" t="s">
        <v>50</v>
      </c>
      <c r="D1" s="59" t="s">
        <v>5</v>
      </c>
      <c r="E1" s="59" t="s">
        <v>16</v>
      </c>
      <c r="F1" s="59" t="s">
        <v>7</v>
      </c>
      <c r="G1" s="59" t="s">
        <v>51</v>
      </c>
      <c r="H1" s="59" t="s">
        <v>52</v>
      </c>
      <c r="I1" s="59" t="s">
        <v>53</v>
      </c>
      <c r="J1" s="59" t="s">
        <v>54</v>
      </c>
      <c r="K1" s="59" t="s">
        <v>55</v>
      </c>
    </row>
    <row r="2" spans="1:11" x14ac:dyDescent="0.35">
      <c r="J2" s="59" t="s">
        <v>56</v>
      </c>
      <c r="K2" s="59" t="s">
        <v>56</v>
      </c>
    </row>
  </sheetData>
  <conditionalFormatting sqref="G1">
    <cfRule type="containsText" dxfId="1" priority="1" operator="containsText" text="pending">
      <formula>NOT(ISERROR(SEARCH("pending",G1)))</formula>
    </cfRule>
    <cfRule type="containsText" dxfId="0" priority="2" operator="containsText" text="complete">
      <formula>NOT(ISERROR(SEARCH("complete",G1)))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81026-41BA-4EEB-BAED-BE2A42942610}">
  <sheetPr codeName="Sheet4"/>
  <dimension ref="A1:O16"/>
  <sheetViews>
    <sheetView zoomScale="80" zoomScaleNormal="80" workbookViewId="0">
      <selection sqref="A1:O16"/>
    </sheetView>
  </sheetViews>
  <sheetFormatPr defaultColWidth="8.81640625" defaultRowHeight="14.5" x14ac:dyDescent="0.35"/>
  <cols>
    <col min="1" max="1" width="13.453125" style="59" bestFit="1" customWidth="1"/>
    <col min="2" max="2" width="13.1796875" style="59" bestFit="1" customWidth="1"/>
    <col min="3" max="3" width="34.81640625" style="59" bestFit="1" customWidth="1"/>
    <col min="4" max="4" width="19.54296875" style="59" bestFit="1" customWidth="1"/>
    <col min="5" max="5" width="19.1796875" style="59" bestFit="1" customWidth="1"/>
    <col min="6" max="6" width="22.81640625" style="59" bestFit="1" customWidth="1"/>
    <col min="7" max="7" width="21.1796875" style="59" bestFit="1" customWidth="1"/>
    <col min="8" max="8" width="9.453125" style="59" bestFit="1" customWidth="1"/>
    <col min="9" max="9" width="19.81640625" style="59" bestFit="1" customWidth="1"/>
    <col min="10" max="10" width="14.54296875" style="59" bestFit="1" customWidth="1"/>
    <col min="11" max="11" width="23.1796875" style="59" bestFit="1" customWidth="1"/>
    <col min="12" max="12" width="21.453125" style="59" bestFit="1" customWidth="1"/>
    <col min="13" max="13" width="22.1796875" style="59" bestFit="1" customWidth="1"/>
    <col min="14" max="14" width="24.81640625" style="59" bestFit="1" customWidth="1"/>
    <col min="15" max="15" width="26.453125" style="59" bestFit="1" customWidth="1"/>
    <col min="16" max="16384" width="8.81640625" style="59"/>
  </cols>
  <sheetData>
    <row r="1" spans="1:15" x14ac:dyDescent="0.3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1:15" x14ac:dyDescent="0.35">
      <c r="A2" s="61"/>
      <c r="B2" s="6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</row>
    <row r="3" spans="1:15" x14ac:dyDescent="0.35">
      <c r="A3" s="61"/>
      <c r="B3" s="61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</row>
    <row r="4" spans="1:15" x14ac:dyDescent="0.35">
      <c r="A4" s="61"/>
      <c r="B4" s="61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</row>
    <row r="5" spans="1:15" x14ac:dyDescent="0.35">
      <c r="A5" s="61"/>
      <c r="B5" s="61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</row>
    <row r="6" spans="1:15" x14ac:dyDescent="0.35">
      <c r="A6" s="61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</row>
    <row r="7" spans="1:15" x14ac:dyDescent="0.35">
      <c r="A7" s="61"/>
      <c r="B7" s="61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</row>
    <row r="8" spans="1:15" x14ac:dyDescent="0.35">
      <c r="A8" s="61"/>
      <c r="B8" s="61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</row>
    <row r="9" spans="1:15" x14ac:dyDescent="0.35">
      <c r="A9" s="61"/>
      <c r="B9" s="61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</row>
    <row r="10" spans="1:15" x14ac:dyDescent="0.35">
      <c r="A10" s="61"/>
      <c r="B10" s="61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</row>
    <row r="11" spans="1:15" x14ac:dyDescent="0.35">
      <c r="A11" s="61"/>
      <c r="B11" s="61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1:15" x14ac:dyDescent="0.35">
      <c r="A12" s="61"/>
      <c r="B12" s="61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</row>
    <row r="13" spans="1:15" x14ac:dyDescent="0.35">
      <c r="A13" s="61"/>
      <c r="B13" s="61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</row>
    <row r="14" spans="1:15" x14ac:dyDescent="0.35">
      <c r="A14" s="61"/>
      <c r="B14" s="61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</row>
    <row r="15" spans="1:15" x14ac:dyDescent="0.35">
      <c r="A15" s="61"/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</row>
    <row r="16" spans="1:15" x14ac:dyDescent="0.35">
      <c r="A16" s="61"/>
      <c r="B16" s="61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5F92-C900-4F55-AD5B-7CBC3A674D7E}">
  <sheetPr codeName="Sheet9"/>
  <dimension ref="A1"/>
  <sheetViews>
    <sheetView workbookViewId="0">
      <selection activeCell="N25" sqref="N25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889EF-D8D2-4427-9892-A90BDF330356}">
  <sheetPr codeName="Sheet5"/>
  <dimension ref="E1:H81"/>
  <sheetViews>
    <sheetView zoomScale="80" zoomScaleNormal="80" workbookViewId="0">
      <selection activeCell="V26" sqref="V26"/>
    </sheetView>
  </sheetViews>
  <sheetFormatPr defaultColWidth="9.1796875" defaultRowHeight="14.5" x14ac:dyDescent="0.35"/>
  <sheetData>
    <row r="1" spans="5:5" x14ac:dyDescent="0.35">
      <c r="E1" s="1"/>
    </row>
    <row r="2" spans="5:5" x14ac:dyDescent="0.35">
      <c r="E2" s="1"/>
    </row>
    <row r="3" spans="5:5" x14ac:dyDescent="0.35">
      <c r="E3" s="1"/>
    </row>
    <row r="4" spans="5:5" x14ac:dyDescent="0.35">
      <c r="E4" s="1"/>
    </row>
    <row r="5" spans="5:5" x14ac:dyDescent="0.35">
      <c r="E5" s="1"/>
    </row>
    <row r="6" spans="5:5" x14ac:dyDescent="0.35">
      <c r="E6" s="1"/>
    </row>
    <row r="7" spans="5:5" x14ac:dyDescent="0.35">
      <c r="E7" s="1"/>
    </row>
    <row r="8" spans="5:5" x14ac:dyDescent="0.35">
      <c r="E8" s="1"/>
    </row>
    <row r="9" spans="5:5" x14ac:dyDescent="0.35">
      <c r="E9" s="1"/>
    </row>
    <row r="10" spans="5:5" x14ac:dyDescent="0.35">
      <c r="E10" s="1"/>
    </row>
    <row r="11" spans="5:5" x14ac:dyDescent="0.35">
      <c r="E11" s="1"/>
    </row>
    <row r="12" spans="5:5" x14ac:dyDescent="0.35">
      <c r="E12" s="1"/>
    </row>
    <row r="13" spans="5:5" x14ac:dyDescent="0.35">
      <c r="E13" s="1"/>
    </row>
    <row r="14" spans="5:5" x14ac:dyDescent="0.35">
      <c r="E14" s="1"/>
    </row>
    <row r="15" spans="5:5" x14ac:dyDescent="0.35">
      <c r="E15" s="1"/>
    </row>
    <row r="16" spans="5:5" x14ac:dyDescent="0.35">
      <c r="E16" s="1"/>
    </row>
    <row r="17" spans="5:8" x14ac:dyDescent="0.35">
      <c r="E17" s="1"/>
    </row>
    <row r="18" spans="5:8" x14ac:dyDescent="0.35">
      <c r="E18" s="1"/>
    </row>
    <row r="19" spans="5:8" x14ac:dyDescent="0.35">
      <c r="E19" s="1"/>
      <c r="H19" s="2"/>
    </row>
    <row r="20" spans="5:8" x14ac:dyDescent="0.35">
      <c r="E20" s="1"/>
    </row>
    <row r="21" spans="5:8" x14ac:dyDescent="0.35">
      <c r="E21" s="1"/>
    </row>
    <row r="22" spans="5:8" x14ac:dyDescent="0.35">
      <c r="E22" s="1"/>
    </row>
    <row r="23" spans="5:8" x14ac:dyDescent="0.35">
      <c r="E23" s="1"/>
    </row>
    <row r="24" spans="5:8" x14ac:dyDescent="0.35">
      <c r="E24" s="1"/>
    </row>
    <row r="25" spans="5:8" x14ac:dyDescent="0.35">
      <c r="E25" s="1"/>
    </row>
    <row r="26" spans="5:8" x14ac:dyDescent="0.35">
      <c r="E26" s="1"/>
    </row>
    <row r="27" spans="5:8" x14ac:dyDescent="0.35">
      <c r="E27" s="1"/>
    </row>
    <row r="28" spans="5:8" x14ac:dyDescent="0.35">
      <c r="E28" s="1"/>
    </row>
    <row r="29" spans="5:8" x14ac:dyDescent="0.35">
      <c r="E29" s="1"/>
    </row>
    <row r="30" spans="5:8" x14ac:dyDescent="0.35">
      <c r="E30" s="1"/>
    </row>
    <row r="31" spans="5:8" x14ac:dyDescent="0.35">
      <c r="E31" s="1"/>
    </row>
    <row r="32" spans="5:8" x14ac:dyDescent="0.35">
      <c r="E32" s="1"/>
    </row>
    <row r="33" spans="5:5" x14ac:dyDescent="0.35">
      <c r="E33" s="1"/>
    </row>
    <row r="34" spans="5:5" x14ac:dyDescent="0.35">
      <c r="E34" s="1"/>
    </row>
    <row r="35" spans="5:5" x14ac:dyDescent="0.35">
      <c r="E35" s="1"/>
    </row>
    <row r="36" spans="5:5" x14ac:dyDescent="0.35">
      <c r="E36" s="1"/>
    </row>
    <row r="37" spans="5:5" x14ac:dyDescent="0.35">
      <c r="E37" s="1"/>
    </row>
    <row r="38" spans="5:5" x14ac:dyDescent="0.35">
      <c r="E38" s="1"/>
    </row>
    <row r="39" spans="5:5" x14ac:dyDescent="0.35">
      <c r="E39" s="1"/>
    </row>
    <row r="40" spans="5:5" x14ac:dyDescent="0.35">
      <c r="E40" s="1"/>
    </row>
    <row r="41" spans="5:5" x14ac:dyDescent="0.35">
      <c r="E41" s="1"/>
    </row>
    <row r="42" spans="5:5" x14ac:dyDescent="0.35">
      <c r="E42" s="1"/>
    </row>
    <row r="43" spans="5:5" x14ac:dyDescent="0.35">
      <c r="E43" s="1"/>
    </row>
    <row r="44" spans="5:5" x14ac:dyDescent="0.35">
      <c r="E44" s="1"/>
    </row>
    <row r="45" spans="5:5" x14ac:dyDescent="0.35">
      <c r="E45" s="1"/>
    </row>
    <row r="46" spans="5:5" x14ac:dyDescent="0.35">
      <c r="E46" s="1"/>
    </row>
    <row r="47" spans="5:5" x14ac:dyDescent="0.35">
      <c r="E47" s="1"/>
    </row>
    <row r="48" spans="5:5" x14ac:dyDescent="0.35">
      <c r="E48" s="1"/>
    </row>
    <row r="49" spans="5:5" x14ac:dyDescent="0.35">
      <c r="E49" s="1"/>
    </row>
    <row r="50" spans="5:5" x14ac:dyDescent="0.35">
      <c r="E50" s="1"/>
    </row>
    <row r="51" spans="5:5" x14ac:dyDescent="0.35">
      <c r="E51" s="1"/>
    </row>
    <row r="52" spans="5:5" x14ac:dyDescent="0.35">
      <c r="E52" s="1"/>
    </row>
    <row r="53" spans="5:5" x14ac:dyDescent="0.35">
      <c r="E53" s="1"/>
    </row>
    <row r="54" spans="5:5" x14ac:dyDescent="0.35">
      <c r="E54" s="1"/>
    </row>
    <row r="55" spans="5:5" x14ac:dyDescent="0.35">
      <c r="E55" s="1"/>
    </row>
    <row r="56" spans="5:5" x14ac:dyDescent="0.35">
      <c r="E56" s="1"/>
    </row>
    <row r="57" spans="5:5" x14ac:dyDescent="0.35">
      <c r="E57" s="1"/>
    </row>
    <row r="58" spans="5:5" x14ac:dyDescent="0.35">
      <c r="E58" s="1"/>
    </row>
    <row r="59" spans="5:5" x14ac:dyDescent="0.35">
      <c r="E59" s="1"/>
    </row>
    <row r="60" spans="5:5" x14ac:dyDescent="0.35">
      <c r="E60" s="1"/>
    </row>
    <row r="61" spans="5:5" x14ac:dyDescent="0.35">
      <c r="E61" s="1"/>
    </row>
    <row r="62" spans="5:5" x14ac:dyDescent="0.35">
      <c r="E62" s="1"/>
    </row>
    <row r="63" spans="5:5" x14ac:dyDescent="0.35">
      <c r="E63" s="1"/>
    </row>
    <row r="64" spans="5:5" x14ac:dyDescent="0.35">
      <c r="E64" s="1"/>
    </row>
    <row r="65" spans="5:5" x14ac:dyDescent="0.35">
      <c r="E65" s="1"/>
    </row>
    <row r="66" spans="5:5" x14ac:dyDescent="0.35">
      <c r="E66" s="1"/>
    </row>
    <row r="67" spans="5:5" x14ac:dyDescent="0.35">
      <c r="E67" s="1"/>
    </row>
    <row r="68" spans="5:5" x14ac:dyDescent="0.35">
      <c r="E68" s="1"/>
    </row>
    <row r="69" spans="5:5" x14ac:dyDescent="0.35">
      <c r="E69" s="1"/>
    </row>
    <row r="70" spans="5:5" x14ac:dyDescent="0.35">
      <c r="E70" s="1"/>
    </row>
    <row r="71" spans="5:5" x14ac:dyDescent="0.35">
      <c r="E71" s="1"/>
    </row>
    <row r="72" spans="5:5" x14ac:dyDescent="0.35">
      <c r="E72" s="1"/>
    </row>
    <row r="73" spans="5:5" x14ac:dyDescent="0.35">
      <c r="E73" s="1"/>
    </row>
    <row r="74" spans="5:5" x14ac:dyDescent="0.35">
      <c r="E74" s="1"/>
    </row>
    <row r="75" spans="5:5" x14ac:dyDescent="0.35">
      <c r="E75" s="1"/>
    </row>
    <row r="76" spans="5:5" x14ac:dyDescent="0.35">
      <c r="E76" s="1"/>
    </row>
    <row r="77" spans="5:5" x14ac:dyDescent="0.35">
      <c r="E77" s="1"/>
    </row>
    <row r="78" spans="5:5" x14ac:dyDescent="0.35">
      <c r="E78" s="1"/>
    </row>
    <row r="79" spans="5:5" x14ac:dyDescent="0.35">
      <c r="E79" s="1"/>
    </row>
    <row r="80" spans="5:5" x14ac:dyDescent="0.35">
      <c r="E80" s="1"/>
    </row>
    <row r="81" spans="5:5" x14ac:dyDescent="0.35">
      <c r="E8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6F05D-5A68-4D49-8FAF-658BA2BAC006}">
  <sheetPr codeName="Sheet3"/>
  <dimension ref="A1:D1"/>
  <sheetViews>
    <sheetView workbookViewId="0">
      <selection sqref="A1:A1048576"/>
    </sheetView>
  </sheetViews>
  <sheetFormatPr defaultRowHeight="14.5" x14ac:dyDescent="0.35"/>
  <cols>
    <col min="1" max="1" width="9.1796875" style="7"/>
  </cols>
  <sheetData>
    <row r="1" spans="1:4" x14ac:dyDescent="0.35">
      <c r="A1" s="6" t="s">
        <v>34</v>
      </c>
      <c r="B1" s="4" t="s">
        <v>35</v>
      </c>
      <c r="C1" s="4" t="s">
        <v>36</v>
      </c>
      <c r="D1" s="5" t="s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2944-9D1E-4B7A-94ED-0045E2B652F6}">
  <sheetPr codeName="Sheet2"/>
  <dimension ref="A1:I1"/>
  <sheetViews>
    <sheetView workbookViewId="0">
      <selection activeCell="B1" sqref="B1:B1048576"/>
    </sheetView>
  </sheetViews>
  <sheetFormatPr defaultRowHeight="14.5" x14ac:dyDescent="0.35"/>
  <cols>
    <col min="2" max="2" width="9.1796875" style="7"/>
  </cols>
  <sheetData>
    <row r="1" spans="1:9" x14ac:dyDescent="0.35">
      <c r="A1" s="3" t="s">
        <v>38</v>
      </c>
      <c r="B1" s="8" t="s">
        <v>5</v>
      </c>
      <c r="C1" s="4" t="s">
        <v>39</v>
      </c>
      <c r="D1" s="4" t="s">
        <v>40</v>
      </c>
      <c r="E1" s="4" t="s">
        <v>41</v>
      </c>
      <c r="F1" s="4" t="s">
        <v>42</v>
      </c>
      <c r="G1" s="4" t="s">
        <v>43</v>
      </c>
      <c r="H1" s="4" t="s">
        <v>44</v>
      </c>
      <c r="I1" s="5" t="s">
        <v>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E58EE3-CAD2-472A-BA06-032B3B265C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WK#</vt:lpstr>
      <vt:lpstr>New Starters</vt:lpstr>
      <vt:lpstr>Onbase Report</vt:lpstr>
      <vt:lpstr>Salesforce Dump</vt:lpstr>
      <vt:lpstr>Pre-Booked Holidays</vt:lpstr>
      <vt:lpstr>OBA Dump</vt:lpstr>
      <vt:lpstr>New Hire Hours</vt:lpstr>
      <vt:lpstr>Roster</vt:lpstr>
    </vt:vector>
  </TitlesOfParts>
  <Company>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Podolchuk, Christopher</dc:creator>
  <cp:lastModifiedBy>Podolchuk, Chris</cp:lastModifiedBy>
  <dcterms:created xsi:type="dcterms:W3CDTF">2021-01-11T12:06:45Z</dcterms:created>
  <dcterms:modified xsi:type="dcterms:W3CDTF">2022-10-28T14:05:17Z</dcterms:modified>
</cp:coreProperties>
</file>