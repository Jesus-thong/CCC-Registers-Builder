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1" codeName="{3D1A710C-6663-3D7B-7F91-EC182F24A4BC}"/>
  <fileSharing readOnlyRecommended="1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podolchc\Desktop\Github\CCC Allocation\"/>
    </mc:Choice>
  </mc:AlternateContent>
  <xr:revisionPtr revIDLastSave="0" documentId="8_{2F109BB9-B65E-41B7-A9E7-F78C73EB9EDB}" xr6:coauthVersionLast="36" xr6:coauthVersionMax="36" xr10:uidLastSave="{00000000-0000-0000-0000-000000000000}"/>
  <bookViews>
    <workbookView xWindow="28680" yWindow="-120" windowWidth="29040" windowHeight="15840" activeTab="2" xr2:uid="{00000000-000D-0000-FFFF-FFFF00000000}"/>
  </bookViews>
  <sheets>
    <sheet name="WK#" sheetId="16" r:id="rId1"/>
    <sheet name="2022 Direct Hire Metrics" sheetId="1" r:id="rId2"/>
    <sheet name="New Starters" sheetId="10" r:id="rId3"/>
    <sheet name="Salesforce Dump" sheetId="8" r:id="rId4"/>
    <sheet name="Onbase Report" sheetId="20" r:id="rId5"/>
    <sheet name="Pre-Booked Holidays" sheetId="19" r:id="rId6"/>
    <sheet name="OBA Dump" sheetId="9" r:id="rId7"/>
    <sheet name="New Hire Hours" sheetId="5" state="hidden" r:id="rId8"/>
    <sheet name="Roster" sheetId="4" state="hidden" r:id="rId9"/>
  </sheets>
  <functionGroups builtInGroupCount="19"/>
  <externalReferences>
    <externalReference r:id="rId10"/>
  </externalReferences>
  <definedNames>
    <definedName name="_xlnm._FilterDatabase" localSheetId="2" hidden="1">'New Starters'!$A$4:$O$101</definedName>
    <definedName name="_xlnm._FilterDatabase" localSheetId="4" hidden="1">'Onbase Report'!$A$1:$K$2</definedName>
    <definedName name="_xlnm._FilterDatabase" localSheetId="8" hidden="1">Roster!#REF!</definedName>
    <definedName name="_xlnm._FilterDatabase" localSheetId="3" hidden="1">'Salesforce Dump'!$A$1:$L$43</definedName>
    <definedName name="_xlnm._FilterDatabase" localSheetId="0" hidden="1">'WK#'!$A$6:$S$6</definedName>
    <definedName name="WK46_">[1]WK1!$C:$C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/>
  <c r="C6" i="10"/>
  <c r="E6" i="10"/>
  <c r="F6" i="10"/>
  <c r="G6" i="10"/>
  <c r="H6" i="10"/>
  <c r="I6" i="10"/>
  <c r="J6" i="10"/>
  <c r="K6" i="10"/>
  <c r="L6" i="10"/>
  <c r="M6" i="10"/>
  <c r="R6" i="10"/>
  <c r="S6" i="10"/>
  <c r="T6" i="10"/>
  <c r="A7" i="10"/>
  <c r="C7" i="10"/>
  <c r="E7" i="10"/>
  <c r="F7" i="10"/>
  <c r="G7" i="10"/>
  <c r="H7" i="10"/>
  <c r="I7" i="10"/>
  <c r="J7" i="10"/>
  <c r="K7" i="10"/>
  <c r="L7" i="10"/>
  <c r="M7" i="10"/>
  <c r="R7" i="10"/>
  <c r="S7" i="10"/>
  <c r="T7" i="10"/>
  <c r="A8" i="10"/>
  <c r="C8" i="10"/>
  <c r="E8" i="10"/>
  <c r="M8" i="10" s="1"/>
  <c r="F8" i="10"/>
  <c r="G8" i="10"/>
  <c r="H8" i="10"/>
  <c r="I8" i="10"/>
  <c r="J8" i="10"/>
  <c r="K8" i="10"/>
  <c r="L8" i="10"/>
  <c r="T8" i="10"/>
  <c r="A9" i="10"/>
  <c r="C9" i="10"/>
  <c r="E9" i="10"/>
  <c r="M9" i="10" s="1"/>
  <c r="F9" i="10"/>
  <c r="G9" i="10"/>
  <c r="H9" i="10"/>
  <c r="I9" i="10"/>
  <c r="J9" i="10"/>
  <c r="K9" i="10"/>
  <c r="L9" i="10"/>
  <c r="T9" i="10"/>
  <c r="A10" i="10"/>
  <c r="C10" i="10"/>
  <c r="E10" i="10"/>
  <c r="L10" i="10" s="1"/>
  <c r="F10" i="10"/>
  <c r="G10" i="10"/>
  <c r="H10" i="10"/>
  <c r="I10" i="10"/>
  <c r="J10" i="10"/>
  <c r="K10" i="10"/>
  <c r="T10" i="10"/>
  <c r="A11" i="10"/>
  <c r="C11" i="10"/>
  <c r="E11" i="10"/>
  <c r="L11" i="10" s="1"/>
  <c r="F11" i="10"/>
  <c r="G11" i="10"/>
  <c r="H11" i="10"/>
  <c r="I11" i="10"/>
  <c r="J11" i="10"/>
  <c r="K11" i="10"/>
  <c r="S11" i="10"/>
  <c r="T11" i="10"/>
  <c r="A12" i="10"/>
  <c r="C12" i="10"/>
  <c r="E12" i="10"/>
  <c r="F12" i="10"/>
  <c r="G12" i="10"/>
  <c r="H12" i="10"/>
  <c r="I12" i="10"/>
  <c r="J12" i="10"/>
  <c r="K12" i="10"/>
  <c r="L12" i="10"/>
  <c r="M12" i="10"/>
  <c r="R12" i="10"/>
  <c r="S12" i="10"/>
  <c r="T12" i="10"/>
  <c r="A13" i="10"/>
  <c r="C13" i="10"/>
  <c r="E13" i="10"/>
  <c r="F13" i="10"/>
  <c r="G13" i="10"/>
  <c r="H13" i="10"/>
  <c r="I13" i="10"/>
  <c r="J13" i="10"/>
  <c r="K13" i="10"/>
  <c r="L13" i="10"/>
  <c r="M13" i="10"/>
  <c r="R13" i="10"/>
  <c r="S13" i="10"/>
  <c r="T13" i="10"/>
  <c r="A14" i="10"/>
  <c r="C14" i="10"/>
  <c r="E14" i="10"/>
  <c r="M14" i="10" s="1"/>
  <c r="F14" i="10"/>
  <c r="G14" i="10"/>
  <c r="H14" i="10"/>
  <c r="I14" i="10"/>
  <c r="J14" i="10"/>
  <c r="K14" i="10"/>
  <c r="L14" i="10"/>
  <c r="T14" i="10"/>
  <c r="A15" i="10"/>
  <c r="C15" i="10"/>
  <c r="E15" i="10"/>
  <c r="M15" i="10" s="1"/>
  <c r="F15" i="10"/>
  <c r="G15" i="10"/>
  <c r="H15" i="10"/>
  <c r="I15" i="10"/>
  <c r="J15" i="10"/>
  <c r="K15" i="10"/>
  <c r="L15" i="10"/>
  <c r="T15" i="10"/>
  <c r="A16" i="10"/>
  <c r="C16" i="10"/>
  <c r="E16" i="10"/>
  <c r="L16" i="10" s="1"/>
  <c r="F16" i="10"/>
  <c r="G16" i="10"/>
  <c r="H16" i="10"/>
  <c r="I16" i="10"/>
  <c r="J16" i="10"/>
  <c r="K16" i="10"/>
  <c r="T16" i="10"/>
  <c r="A17" i="10"/>
  <c r="C17" i="10"/>
  <c r="E17" i="10"/>
  <c r="L17" i="10" s="1"/>
  <c r="F17" i="10"/>
  <c r="G17" i="10"/>
  <c r="H17" i="10"/>
  <c r="I17" i="10"/>
  <c r="J17" i="10"/>
  <c r="K17" i="10"/>
  <c r="S17" i="10"/>
  <c r="T17" i="10"/>
  <c r="A18" i="10"/>
  <c r="C18" i="10"/>
  <c r="E18" i="10"/>
  <c r="F18" i="10"/>
  <c r="G18" i="10"/>
  <c r="H18" i="10"/>
  <c r="I18" i="10"/>
  <c r="J18" i="10"/>
  <c r="K18" i="10"/>
  <c r="L18" i="10"/>
  <c r="M18" i="10"/>
  <c r="R18" i="10"/>
  <c r="S18" i="10"/>
  <c r="T18" i="10"/>
  <c r="A19" i="10"/>
  <c r="C19" i="10"/>
  <c r="E19" i="10"/>
  <c r="S19" i="10" s="1"/>
  <c r="F19" i="10"/>
  <c r="G19" i="10"/>
  <c r="H19" i="10"/>
  <c r="I19" i="10"/>
  <c r="J19" i="10"/>
  <c r="K19" i="10"/>
  <c r="L19" i="10"/>
  <c r="M19" i="10"/>
  <c r="R19" i="10"/>
  <c r="T19" i="10"/>
  <c r="A20" i="10"/>
  <c r="C20" i="10"/>
  <c r="E20" i="10"/>
  <c r="M20" i="10" s="1"/>
  <c r="F20" i="10"/>
  <c r="G20" i="10"/>
  <c r="H20" i="10"/>
  <c r="I20" i="10"/>
  <c r="J20" i="10"/>
  <c r="K20" i="10"/>
  <c r="L20" i="10"/>
  <c r="R20" i="10"/>
  <c r="T20" i="10"/>
  <c r="A21" i="10"/>
  <c r="C21" i="10"/>
  <c r="E21" i="10"/>
  <c r="M21" i="10" s="1"/>
  <c r="F21" i="10"/>
  <c r="G21" i="10"/>
  <c r="H21" i="10"/>
  <c r="I21" i="10"/>
  <c r="J21" i="10"/>
  <c r="K21" i="10"/>
  <c r="L21" i="10"/>
  <c r="T21" i="10"/>
  <c r="A22" i="10"/>
  <c r="C22" i="10"/>
  <c r="E22" i="10"/>
  <c r="L22" i="10" s="1"/>
  <c r="F22" i="10"/>
  <c r="G22" i="10"/>
  <c r="H22" i="10"/>
  <c r="I22" i="10"/>
  <c r="J22" i="10"/>
  <c r="K22" i="10"/>
  <c r="T22" i="10"/>
  <c r="A23" i="10"/>
  <c r="C23" i="10"/>
  <c r="E23" i="10"/>
  <c r="L23" i="10" s="1"/>
  <c r="F23" i="10"/>
  <c r="G23" i="10"/>
  <c r="H23" i="10"/>
  <c r="I23" i="10"/>
  <c r="J23" i="10"/>
  <c r="K23" i="10"/>
  <c r="T23" i="10"/>
  <c r="A24" i="10"/>
  <c r="C24" i="10"/>
  <c r="E24" i="10"/>
  <c r="L24" i="10" s="1"/>
  <c r="F24" i="10"/>
  <c r="G24" i="10"/>
  <c r="H24" i="10"/>
  <c r="I24" i="10"/>
  <c r="J24" i="10"/>
  <c r="K24" i="10"/>
  <c r="R24" i="10"/>
  <c r="S24" i="10"/>
  <c r="T24" i="10"/>
  <c r="A25" i="10"/>
  <c r="C25" i="10"/>
  <c r="E25" i="10"/>
  <c r="S25" i="10" s="1"/>
  <c r="F25" i="10"/>
  <c r="G25" i="10"/>
  <c r="H25" i="10"/>
  <c r="I25" i="10"/>
  <c r="J25" i="10"/>
  <c r="K25" i="10"/>
  <c r="L25" i="10"/>
  <c r="M25" i="10"/>
  <c r="R25" i="10"/>
  <c r="T25" i="10"/>
  <c r="A26" i="10"/>
  <c r="C26" i="10"/>
  <c r="E26" i="10"/>
  <c r="M26" i="10" s="1"/>
  <c r="F26" i="10"/>
  <c r="G26" i="10"/>
  <c r="H26" i="10"/>
  <c r="I26" i="10"/>
  <c r="J26" i="10"/>
  <c r="K26" i="10"/>
  <c r="L26" i="10"/>
  <c r="R26" i="10"/>
  <c r="T26" i="10"/>
  <c r="A27" i="10"/>
  <c r="C27" i="10"/>
  <c r="E27" i="10"/>
  <c r="M27" i="10" s="1"/>
  <c r="F27" i="10"/>
  <c r="G27" i="10"/>
  <c r="H27" i="10"/>
  <c r="I27" i="10"/>
  <c r="J27" i="10"/>
  <c r="K27" i="10"/>
  <c r="L27" i="10"/>
  <c r="T27" i="10"/>
  <c r="A28" i="10"/>
  <c r="C28" i="10"/>
  <c r="E28" i="10"/>
  <c r="L28" i="10" s="1"/>
  <c r="F28" i="10"/>
  <c r="G28" i="10"/>
  <c r="H28" i="10"/>
  <c r="I28" i="10"/>
  <c r="J28" i="10"/>
  <c r="K28" i="10"/>
  <c r="T28" i="10"/>
  <c r="A29" i="10"/>
  <c r="C29" i="10"/>
  <c r="E29" i="10"/>
  <c r="L29" i="10" s="1"/>
  <c r="F29" i="10"/>
  <c r="G29" i="10"/>
  <c r="H29" i="10"/>
  <c r="I29" i="10"/>
  <c r="J29" i="10"/>
  <c r="K29" i="10"/>
  <c r="T29" i="10"/>
  <c r="A30" i="10"/>
  <c r="C30" i="10"/>
  <c r="E30" i="10"/>
  <c r="L30" i="10" s="1"/>
  <c r="F30" i="10"/>
  <c r="G30" i="10"/>
  <c r="H30" i="10"/>
  <c r="I30" i="10"/>
  <c r="J30" i="10"/>
  <c r="K30" i="10"/>
  <c r="T30" i="10"/>
  <c r="A31" i="10"/>
  <c r="C31" i="10"/>
  <c r="E31" i="10"/>
  <c r="S31" i="10" s="1"/>
  <c r="F31" i="10"/>
  <c r="G31" i="10"/>
  <c r="H31" i="10"/>
  <c r="I31" i="10"/>
  <c r="J31" i="10"/>
  <c r="K31" i="10"/>
  <c r="R31" i="10"/>
  <c r="T31" i="10"/>
  <c r="A32" i="10"/>
  <c r="C32" i="10"/>
  <c r="E32" i="10"/>
  <c r="M32" i="10" s="1"/>
  <c r="F32" i="10"/>
  <c r="G32" i="10"/>
  <c r="H32" i="10"/>
  <c r="I32" i="10"/>
  <c r="J32" i="10"/>
  <c r="K32" i="10"/>
  <c r="R32" i="10"/>
  <c r="T32" i="10"/>
  <c r="A33" i="10"/>
  <c r="C33" i="10"/>
  <c r="E33" i="10"/>
  <c r="M33" i="10" s="1"/>
  <c r="F33" i="10"/>
  <c r="G33" i="10"/>
  <c r="H33" i="10"/>
  <c r="I33" i="10"/>
  <c r="J33" i="10"/>
  <c r="K33" i="10"/>
  <c r="T33" i="10"/>
  <c r="A34" i="10"/>
  <c r="C34" i="10"/>
  <c r="E34" i="10"/>
  <c r="L34" i="10" s="1"/>
  <c r="F34" i="10"/>
  <c r="G34" i="10"/>
  <c r="H34" i="10"/>
  <c r="I34" i="10"/>
  <c r="J34" i="10"/>
  <c r="K34" i="10"/>
  <c r="T34" i="10"/>
  <c r="A35" i="10"/>
  <c r="C35" i="10"/>
  <c r="E35" i="10"/>
  <c r="L35" i="10" s="1"/>
  <c r="F35" i="10"/>
  <c r="G35" i="10"/>
  <c r="H35" i="10"/>
  <c r="I35" i="10"/>
  <c r="J35" i="10"/>
  <c r="K35" i="10"/>
  <c r="T35" i="10"/>
  <c r="A36" i="10"/>
  <c r="C36" i="10"/>
  <c r="E36" i="10"/>
  <c r="F36" i="10"/>
  <c r="G36" i="10"/>
  <c r="H36" i="10"/>
  <c r="I36" i="10"/>
  <c r="J36" i="10"/>
  <c r="K36" i="10"/>
  <c r="L36" i="10"/>
  <c r="M36" i="10"/>
  <c r="R36" i="10"/>
  <c r="S36" i="10"/>
  <c r="T36" i="10"/>
  <c r="A37" i="10"/>
  <c r="C37" i="10"/>
  <c r="E37" i="10"/>
  <c r="S37" i="10" s="1"/>
  <c r="F37" i="10"/>
  <c r="G37" i="10"/>
  <c r="H37" i="10"/>
  <c r="I37" i="10"/>
  <c r="J37" i="10"/>
  <c r="K37" i="10"/>
  <c r="T37" i="10"/>
  <c r="A38" i="10"/>
  <c r="C38" i="10"/>
  <c r="E38" i="10"/>
  <c r="M38" i="10" s="1"/>
  <c r="F38" i="10"/>
  <c r="G38" i="10"/>
  <c r="H38" i="10"/>
  <c r="I38" i="10"/>
  <c r="J38" i="10"/>
  <c r="K38" i="10"/>
  <c r="T38" i="10"/>
  <c r="A39" i="10"/>
  <c r="C39" i="10"/>
  <c r="E39" i="10"/>
  <c r="M39" i="10" s="1"/>
  <c r="F39" i="10"/>
  <c r="G39" i="10"/>
  <c r="H39" i="10"/>
  <c r="I39" i="10"/>
  <c r="J39" i="10"/>
  <c r="K39" i="10"/>
  <c r="T39" i="10"/>
  <c r="A40" i="10"/>
  <c r="C40" i="10"/>
  <c r="E40" i="10"/>
  <c r="L40" i="10" s="1"/>
  <c r="F40" i="10"/>
  <c r="G40" i="10"/>
  <c r="H40" i="10"/>
  <c r="I40" i="10"/>
  <c r="J40" i="10"/>
  <c r="K40" i="10"/>
  <c r="T40" i="10"/>
  <c r="A41" i="10"/>
  <c r="C41" i="10"/>
  <c r="E41" i="10"/>
  <c r="L41" i="10" s="1"/>
  <c r="F41" i="10"/>
  <c r="G41" i="10"/>
  <c r="H41" i="10"/>
  <c r="I41" i="10"/>
  <c r="J41" i="10"/>
  <c r="K41" i="10"/>
  <c r="T41" i="10"/>
  <c r="A42" i="10"/>
  <c r="C42" i="10"/>
  <c r="E42" i="10"/>
  <c r="S42" i="10" s="1"/>
  <c r="F42" i="10"/>
  <c r="G42" i="10"/>
  <c r="H42" i="10"/>
  <c r="I42" i="10"/>
  <c r="J42" i="10"/>
  <c r="K42" i="10"/>
  <c r="L42" i="10"/>
  <c r="M42" i="10"/>
  <c r="R42" i="10"/>
  <c r="T42" i="10"/>
  <c r="A43" i="10"/>
  <c r="C43" i="10"/>
  <c r="E43" i="10"/>
  <c r="S43" i="10" s="1"/>
  <c r="F43" i="10"/>
  <c r="G43" i="10"/>
  <c r="H43" i="10"/>
  <c r="I43" i="10"/>
  <c r="J43" i="10"/>
  <c r="K43" i="10"/>
  <c r="L43" i="10"/>
  <c r="R43" i="10"/>
  <c r="T43" i="10"/>
  <c r="A44" i="10"/>
  <c r="C44" i="10"/>
  <c r="E44" i="10"/>
  <c r="M44" i="10" s="1"/>
  <c r="F44" i="10"/>
  <c r="G44" i="10"/>
  <c r="H44" i="10"/>
  <c r="I44" i="10"/>
  <c r="J44" i="10"/>
  <c r="K44" i="10"/>
  <c r="T44" i="10"/>
  <c r="A45" i="10"/>
  <c r="C45" i="10"/>
  <c r="E45" i="10"/>
  <c r="M45" i="10" s="1"/>
  <c r="F45" i="10"/>
  <c r="G45" i="10"/>
  <c r="H45" i="10"/>
  <c r="I45" i="10"/>
  <c r="J45" i="10"/>
  <c r="K45" i="10"/>
  <c r="T45" i="10"/>
  <c r="A46" i="10"/>
  <c r="C46" i="10"/>
  <c r="E46" i="10"/>
  <c r="L46" i="10" s="1"/>
  <c r="F46" i="10"/>
  <c r="G46" i="10"/>
  <c r="H46" i="10"/>
  <c r="I46" i="10"/>
  <c r="J46" i="10"/>
  <c r="K46" i="10"/>
  <c r="T46" i="10"/>
  <c r="A47" i="10"/>
  <c r="C47" i="10"/>
  <c r="E47" i="10"/>
  <c r="L47" i="10" s="1"/>
  <c r="F47" i="10"/>
  <c r="G47" i="10"/>
  <c r="H47" i="10"/>
  <c r="I47" i="10"/>
  <c r="J47" i="10"/>
  <c r="K47" i="10"/>
  <c r="T47" i="10"/>
  <c r="A48" i="10"/>
  <c r="C48" i="10"/>
  <c r="E48" i="10"/>
  <c r="F48" i="10"/>
  <c r="G48" i="10"/>
  <c r="H48" i="10"/>
  <c r="I48" i="10"/>
  <c r="J48" i="10"/>
  <c r="K48" i="10"/>
  <c r="L48" i="10"/>
  <c r="M48" i="10"/>
  <c r="R48" i="10"/>
  <c r="S48" i="10"/>
  <c r="T48" i="10"/>
  <c r="A49" i="10"/>
  <c r="C49" i="10"/>
  <c r="E49" i="10"/>
  <c r="S49" i="10" s="1"/>
  <c r="F49" i="10"/>
  <c r="G49" i="10"/>
  <c r="H49" i="10"/>
  <c r="I49" i="10"/>
  <c r="J49" i="10"/>
  <c r="K49" i="10"/>
  <c r="L49" i="10"/>
  <c r="M49" i="10"/>
  <c r="R49" i="10"/>
  <c r="T49" i="10"/>
  <c r="A50" i="10"/>
  <c r="C50" i="10"/>
  <c r="E50" i="10"/>
  <c r="M50" i="10" s="1"/>
  <c r="F50" i="10"/>
  <c r="G50" i="10"/>
  <c r="H50" i="10"/>
  <c r="I50" i="10"/>
  <c r="J50" i="10"/>
  <c r="K50" i="10"/>
  <c r="L50" i="10"/>
  <c r="T50" i="10"/>
  <c r="A51" i="10"/>
  <c r="C51" i="10"/>
  <c r="E51" i="10"/>
  <c r="M51" i="10" s="1"/>
  <c r="F51" i="10"/>
  <c r="G51" i="10"/>
  <c r="H51" i="10"/>
  <c r="I51" i="10"/>
  <c r="J51" i="10"/>
  <c r="K51" i="10"/>
  <c r="L51" i="10"/>
  <c r="T51" i="10"/>
  <c r="A52" i="10"/>
  <c r="C52" i="10"/>
  <c r="E52" i="10"/>
  <c r="L52" i="10" s="1"/>
  <c r="F52" i="10"/>
  <c r="G52" i="10"/>
  <c r="H52" i="10"/>
  <c r="I52" i="10"/>
  <c r="J52" i="10"/>
  <c r="K52" i="10"/>
  <c r="T52" i="10"/>
  <c r="A53" i="10"/>
  <c r="C53" i="10"/>
  <c r="E53" i="10"/>
  <c r="L53" i="10" s="1"/>
  <c r="F53" i="10"/>
  <c r="G53" i="10"/>
  <c r="H53" i="10"/>
  <c r="I53" i="10"/>
  <c r="J53" i="10"/>
  <c r="K53" i="10"/>
  <c r="T53" i="10"/>
  <c r="A54" i="10"/>
  <c r="C54" i="10"/>
  <c r="E54" i="10"/>
  <c r="S54" i="10" s="1"/>
  <c r="F54" i="10"/>
  <c r="G54" i="10"/>
  <c r="H54" i="10"/>
  <c r="I54" i="10"/>
  <c r="J54" i="10"/>
  <c r="K54" i="10"/>
  <c r="L54" i="10"/>
  <c r="T54" i="10"/>
  <c r="A55" i="10"/>
  <c r="C55" i="10"/>
  <c r="E55" i="10"/>
  <c r="S55" i="10" s="1"/>
  <c r="F55" i="10"/>
  <c r="G55" i="10"/>
  <c r="H55" i="10"/>
  <c r="I55" i="10"/>
  <c r="J55" i="10"/>
  <c r="K55" i="10"/>
  <c r="L55" i="10"/>
  <c r="M55" i="10"/>
  <c r="R55" i="10"/>
  <c r="T55" i="10"/>
  <c r="A56" i="10"/>
  <c r="C56" i="10"/>
  <c r="E56" i="10"/>
  <c r="M56" i="10" s="1"/>
  <c r="F56" i="10"/>
  <c r="G56" i="10"/>
  <c r="H56" i="10"/>
  <c r="I56" i="10"/>
  <c r="J56" i="10"/>
  <c r="K56" i="10"/>
  <c r="L56" i="10"/>
  <c r="R56" i="10"/>
  <c r="T56" i="10"/>
  <c r="A57" i="10"/>
  <c r="C57" i="10"/>
  <c r="E57" i="10"/>
  <c r="M57" i="10" s="1"/>
  <c r="F57" i="10"/>
  <c r="G57" i="10"/>
  <c r="H57" i="10"/>
  <c r="I57" i="10"/>
  <c r="J57" i="10"/>
  <c r="K57" i="10"/>
  <c r="L57" i="10"/>
  <c r="S57" i="10"/>
  <c r="T57" i="10"/>
  <c r="A58" i="10"/>
  <c r="C58" i="10"/>
  <c r="E58" i="10"/>
  <c r="L58" i="10" s="1"/>
  <c r="F58" i="10"/>
  <c r="G58" i="10"/>
  <c r="H58" i="10"/>
  <c r="I58" i="10"/>
  <c r="J58" i="10"/>
  <c r="K58" i="10"/>
  <c r="T58" i="10"/>
  <c r="A59" i="10"/>
  <c r="C59" i="10"/>
  <c r="E59" i="10"/>
  <c r="L59" i="10" s="1"/>
  <c r="F59" i="10"/>
  <c r="G59" i="10"/>
  <c r="H59" i="10"/>
  <c r="I59" i="10"/>
  <c r="J59" i="10"/>
  <c r="K59" i="10"/>
  <c r="T59" i="10"/>
  <c r="A60" i="10"/>
  <c r="C60" i="10"/>
  <c r="E60" i="10"/>
  <c r="L60" i="10" s="1"/>
  <c r="F60" i="10"/>
  <c r="G60" i="10"/>
  <c r="H60" i="10"/>
  <c r="I60" i="10"/>
  <c r="J60" i="10"/>
  <c r="K60" i="10"/>
  <c r="M60" i="10"/>
  <c r="S60" i="10"/>
  <c r="T60" i="10"/>
  <c r="A61" i="10"/>
  <c r="C61" i="10"/>
  <c r="E61" i="10"/>
  <c r="S61" i="10" s="1"/>
  <c r="F61" i="10"/>
  <c r="G61" i="10"/>
  <c r="H61" i="10"/>
  <c r="I61" i="10"/>
  <c r="J61" i="10"/>
  <c r="K61" i="10"/>
  <c r="M61" i="10"/>
  <c r="R61" i="10"/>
  <c r="T61" i="10"/>
  <c r="A62" i="10"/>
  <c r="C62" i="10"/>
  <c r="E62" i="10"/>
  <c r="M62" i="10" s="1"/>
  <c r="F62" i="10"/>
  <c r="G62" i="10"/>
  <c r="H62" i="10"/>
  <c r="I62" i="10"/>
  <c r="J62" i="10"/>
  <c r="K62" i="10"/>
  <c r="L62" i="10"/>
  <c r="R62" i="10"/>
  <c r="T62" i="10"/>
  <c r="A63" i="10"/>
  <c r="C63" i="10"/>
  <c r="E63" i="10"/>
  <c r="M63" i="10" s="1"/>
  <c r="F63" i="10"/>
  <c r="G63" i="10"/>
  <c r="H63" i="10"/>
  <c r="I63" i="10"/>
  <c r="J63" i="10"/>
  <c r="K63" i="10"/>
  <c r="L63" i="10"/>
  <c r="R63" i="10"/>
  <c r="S63" i="10"/>
  <c r="T63" i="10"/>
  <c r="A64" i="10"/>
  <c r="C64" i="10"/>
  <c r="E64" i="10"/>
  <c r="L64" i="10" s="1"/>
  <c r="F64" i="10"/>
  <c r="G64" i="10"/>
  <c r="H64" i="10"/>
  <c r="I64" i="10"/>
  <c r="J64" i="10"/>
  <c r="K64" i="10"/>
  <c r="T64" i="10"/>
  <c r="A65" i="10"/>
  <c r="C65" i="10"/>
  <c r="E65" i="10"/>
  <c r="L65" i="10" s="1"/>
  <c r="F65" i="10"/>
  <c r="G65" i="10"/>
  <c r="H65" i="10"/>
  <c r="I65" i="10"/>
  <c r="J65" i="10"/>
  <c r="K65" i="10"/>
  <c r="T65" i="10"/>
  <c r="A66" i="10"/>
  <c r="C66" i="10"/>
  <c r="E66" i="10"/>
  <c r="L66" i="10" s="1"/>
  <c r="F66" i="10"/>
  <c r="G66" i="10"/>
  <c r="H66" i="10"/>
  <c r="I66" i="10"/>
  <c r="J66" i="10"/>
  <c r="K66" i="10"/>
  <c r="M66" i="10"/>
  <c r="S66" i="10"/>
  <c r="T66" i="10"/>
  <c r="A67" i="10"/>
  <c r="C67" i="10"/>
  <c r="E67" i="10"/>
  <c r="S67" i="10" s="1"/>
  <c r="F67" i="10"/>
  <c r="G67" i="10"/>
  <c r="H67" i="10"/>
  <c r="I67" i="10"/>
  <c r="J67" i="10"/>
  <c r="K67" i="10"/>
  <c r="M67" i="10"/>
  <c r="R67" i="10"/>
  <c r="T67" i="10"/>
  <c r="A68" i="10"/>
  <c r="C68" i="10"/>
  <c r="E68" i="10"/>
  <c r="M68" i="10" s="1"/>
  <c r="F68" i="10"/>
  <c r="G68" i="10"/>
  <c r="H68" i="10"/>
  <c r="I68" i="10"/>
  <c r="J68" i="10"/>
  <c r="K68" i="10"/>
  <c r="L68" i="10"/>
  <c r="R68" i="10"/>
  <c r="T68" i="10"/>
  <c r="A69" i="10"/>
  <c r="C69" i="10"/>
  <c r="E69" i="10"/>
  <c r="M69" i="10" s="1"/>
  <c r="F69" i="10"/>
  <c r="G69" i="10"/>
  <c r="H69" i="10"/>
  <c r="I69" i="10"/>
  <c r="J69" i="10"/>
  <c r="K69" i="10"/>
  <c r="L69" i="10"/>
  <c r="R69" i="10"/>
  <c r="S69" i="10"/>
  <c r="T69" i="10"/>
  <c r="A70" i="10"/>
  <c r="C70" i="10"/>
  <c r="E70" i="10"/>
  <c r="L70" i="10" s="1"/>
  <c r="F70" i="10"/>
  <c r="G70" i="10"/>
  <c r="H70" i="10"/>
  <c r="I70" i="10"/>
  <c r="J70" i="10"/>
  <c r="K70" i="10"/>
  <c r="T70" i="10"/>
  <c r="A71" i="10"/>
  <c r="C71" i="10"/>
  <c r="E71" i="10"/>
  <c r="L71" i="10" s="1"/>
  <c r="F71" i="10"/>
  <c r="G71" i="10"/>
  <c r="H71" i="10"/>
  <c r="I71" i="10"/>
  <c r="J71" i="10"/>
  <c r="K71" i="10"/>
  <c r="T71" i="10"/>
  <c r="A72" i="10"/>
  <c r="C72" i="10"/>
  <c r="E72" i="10"/>
  <c r="L72" i="10" s="1"/>
  <c r="F72" i="10"/>
  <c r="G72" i="10"/>
  <c r="H72" i="10"/>
  <c r="I72" i="10"/>
  <c r="J72" i="10"/>
  <c r="K72" i="10"/>
  <c r="M72" i="10"/>
  <c r="S72" i="10"/>
  <c r="T72" i="10"/>
  <c r="A73" i="10"/>
  <c r="C73" i="10"/>
  <c r="E73" i="10"/>
  <c r="S73" i="10" s="1"/>
  <c r="F73" i="10"/>
  <c r="G73" i="10"/>
  <c r="H73" i="10"/>
  <c r="I73" i="10"/>
  <c r="J73" i="10"/>
  <c r="K73" i="10"/>
  <c r="M73" i="10"/>
  <c r="R73" i="10"/>
  <c r="T73" i="10"/>
  <c r="A74" i="10"/>
  <c r="C74" i="10"/>
  <c r="E74" i="10"/>
  <c r="M74" i="10" s="1"/>
  <c r="F74" i="10"/>
  <c r="G74" i="10"/>
  <c r="H74" i="10"/>
  <c r="I74" i="10"/>
  <c r="J74" i="10"/>
  <c r="K74" i="10"/>
  <c r="L74" i="10"/>
  <c r="R74" i="10"/>
  <c r="T74" i="10"/>
  <c r="A75" i="10"/>
  <c r="C75" i="10"/>
  <c r="E75" i="10"/>
  <c r="M75" i="10" s="1"/>
  <c r="F75" i="10"/>
  <c r="G75" i="10"/>
  <c r="H75" i="10"/>
  <c r="I75" i="10"/>
  <c r="J75" i="10"/>
  <c r="K75" i="10"/>
  <c r="L75" i="10"/>
  <c r="R75" i="10"/>
  <c r="T75" i="10"/>
  <c r="A76" i="10"/>
  <c r="C76" i="10"/>
  <c r="E76" i="10"/>
  <c r="L76" i="10" s="1"/>
  <c r="F76" i="10"/>
  <c r="G76" i="10"/>
  <c r="H76" i="10"/>
  <c r="I76" i="10"/>
  <c r="J76" i="10"/>
  <c r="K76" i="10"/>
  <c r="T76" i="10"/>
  <c r="A77" i="10"/>
  <c r="C77" i="10"/>
  <c r="E77" i="10"/>
  <c r="L77" i="10" s="1"/>
  <c r="F77" i="10"/>
  <c r="G77" i="10"/>
  <c r="H77" i="10"/>
  <c r="I77" i="10"/>
  <c r="J77" i="10"/>
  <c r="K77" i="10"/>
  <c r="T77" i="10"/>
  <c r="A78" i="10"/>
  <c r="C78" i="10"/>
  <c r="E78" i="10"/>
  <c r="L78" i="10" s="1"/>
  <c r="F78" i="10"/>
  <c r="G78" i="10"/>
  <c r="H78" i="10"/>
  <c r="I78" i="10"/>
  <c r="J78" i="10"/>
  <c r="K78" i="10"/>
  <c r="M78" i="10"/>
  <c r="S78" i="10"/>
  <c r="T78" i="10"/>
  <c r="A79" i="10"/>
  <c r="C79" i="10"/>
  <c r="E79" i="10"/>
  <c r="S79" i="10" s="1"/>
  <c r="F79" i="10"/>
  <c r="G79" i="10"/>
  <c r="H79" i="10"/>
  <c r="I79" i="10"/>
  <c r="J79" i="10"/>
  <c r="K79" i="10"/>
  <c r="M79" i="10"/>
  <c r="R79" i="10"/>
  <c r="T79" i="10"/>
  <c r="A80" i="10"/>
  <c r="C80" i="10"/>
  <c r="E80" i="10"/>
  <c r="M80" i="10" s="1"/>
  <c r="F80" i="10"/>
  <c r="G80" i="10"/>
  <c r="H80" i="10"/>
  <c r="I80" i="10"/>
  <c r="J80" i="10"/>
  <c r="K80" i="10"/>
  <c r="L80" i="10"/>
  <c r="R80" i="10"/>
  <c r="T80" i="10"/>
  <c r="A81" i="10"/>
  <c r="C81" i="10"/>
  <c r="E81" i="10"/>
  <c r="M81" i="10" s="1"/>
  <c r="F81" i="10"/>
  <c r="G81" i="10"/>
  <c r="H81" i="10"/>
  <c r="I81" i="10"/>
  <c r="J81" i="10"/>
  <c r="K81" i="10"/>
  <c r="L81" i="10"/>
  <c r="R81" i="10"/>
  <c r="T81" i="10"/>
  <c r="A82" i="10"/>
  <c r="C82" i="10"/>
  <c r="E82" i="10"/>
  <c r="M82" i="10" s="1"/>
  <c r="F82" i="10"/>
  <c r="G82" i="10"/>
  <c r="H82" i="10"/>
  <c r="I82" i="10"/>
  <c r="J82" i="10"/>
  <c r="K82" i="10"/>
  <c r="L82" i="10"/>
  <c r="T82" i="10"/>
  <c r="A83" i="10"/>
  <c r="C83" i="10"/>
  <c r="E83" i="10"/>
  <c r="L83" i="10" s="1"/>
  <c r="F83" i="10"/>
  <c r="G83" i="10"/>
  <c r="H83" i="10"/>
  <c r="I83" i="10"/>
  <c r="J83" i="10"/>
  <c r="K83" i="10"/>
  <c r="T83" i="10"/>
  <c r="A84" i="10"/>
  <c r="C84" i="10"/>
  <c r="E84" i="10"/>
  <c r="S84" i="10" s="1"/>
  <c r="F84" i="10"/>
  <c r="G84" i="10"/>
  <c r="H84" i="10"/>
  <c r="I84" i="10"/>
  <c r="J84" i="10"/>
  <c r="K84" i="10"/>
  <c r="L84" i="10"/>
  <c r="R84" i="10"/>
  <c r="T84" i="10"/>
  <c r="A85" i="10"/>
  <c r="C85" i="10"/>
  <c r="E85" i="10"/>
  <c r="S85" i="10" s="1"/>
  <c r="F85" i="10"/>
  <c r="G85" i="10"/>
  <c r="H85" i="10"/>
  <c r="I85" i="10"/>
  <c r="J85" i="10"/>
  <c r="K85" i="10"/>
  <c r="L85" i="10"/>
  <c r="T85" i="10"/>
  <c r="A86" i="10"/>
  <c r="C86" i="10"/>
  <c r="E86" i="10"/>
  <c r="M86" i="10" s="1"/>
  <c r="F86" i="10"/>
  <c r="G86" i="10"/>
  <c r="H86" i="10"/>
  <c r="I86" i="10"/>
  <c r="J86" i="10"/>
  <c r="K86" i="10"/>
  <c r="L86" i="10"/>
  <c r="T86" i="10"/>
  <c r="A87" i="10"/>
  <c r="C87" i="10"/>
  <c r="E87" i="10"/>
  <c r="M87" i="10" s="1"/>
  <c r="F87" i="10"/>
  <c r="G87" i="10"/>
  <c r="H87" i="10"/>
  <c r="I87" i="10"/>
  <c r="J87" i="10"/>
  <c r="K87" i="10"/>
  <c r="S87" i="10"/>
  <c r="T87" i="10"/>
  <c r="A88" i="10"/>
  <c r="C88" i="10"/>
  <c r="E88" i="10"/>
  <c r="M88" i="10" s="1"/>
  <c r="F88" i="10"/>
  <c r="G88" i="10"/>
  <c r="H88" i="10"/>
  <c r="I88" i="10"/>
  <c r="J88" i="10"/>
  <c r="K88" i="10"/>
  <c r="L88" i="10"/>
  <c r="T88" i="10"/>
  <c r="A89" i="10"/>
  <c r="C89" i="10"/>
  <c r="E89" i="10"/>
  <c r="L89" i="10" s="1"/>
  <c r="F89" i="10"/>
  <c r="G89" i="10"/>
  <c r="H89" i="10"/>
  <c r="I89" i="10"/>
  <c r="J89" i="10"/>
  <c r="K89" i="10"/>
  <c r="T89" i="10"/>
  <c r="A90" i="10"/>
  <c r="C90" i="10"/>
  <c r="E90" i="10"/>
  <c r="S90" i="10" s="1"/>
  <c r="F90" i="10"/>
  <c r="G90" i="10"/>
  <c r="H90" i="10"/>
  <c r="I90" i="10"/>
  <c r="J90" i="10"/>
  <c r="K90" i="10"/>
  <c r="L90" i="10"/>
  <c r="M90" i="10"/>
  <c r="R90" i="10"/>
  <c r="T90" i="10"/>
  <c r="A91" i="10"/>
  <c r="C91" i="10"/>
  <c r="E91" i="10"/>
  <c r="S91" i="10" s="1"/>
  <c r="F91" i="10"/>
  <c r="G91" i="10"/>
  <c r="H91" i="10"/>
  <c r="I91" i="10"/>
  <c r="J91" i="10"/>
  <c r="K91" i="10"/>
  <c r="R91" i="10"/>
  <c r="T91" i="10"/>
  <c r="A92" i="10"/>
  <c r="C92" i="10"/>
  <c r="E92" i="10"/>
  <c r="M92" i="10" s="1"/>
  <c r="F92" i="10"/>
  <c r="G92" i="10"/>
  <c r="H92" i="10"/>
  <c r="I92" i="10"/>
  <c r="J92" i="10"/>
  <c r="K92" i="10"/>
  <c r="L92" i="10"/>
  <c r="R92" i="10"/>
  <c r="T92" i="10"/>
  <c r="A93" i="10"/>
  <c r="C93" i="10"/>
  <c r="E93" i="10"/>
  <c r="M93" i="10" s="1"/>
  <c r="F93" i="10"/>
  <c r="G93" i="10"/>
  <c r="H93" i="10"/>
  <c r="I93" i="10"/>
  <c r="J93" i="10"/>
  <c r="K93" i="10"/>
  <c r="L93" i="10"/>
  <c r="R93" i="10"/>
  <c r="S93" i="10"/>
  <c r="T93" i="10"/>
  <c r="A94" i="10"/>
  <c r="C94" i="10"/>
  <c r="E94" i="10"/>
  <c r="L94" i="10" s="1"/>
  <c r="F94" i="10"/>
  <c r="G94" i="10"/>
  <c r="H94" i="10"/>
  <c r="I94" i="10"/>
  <c r="J94" i="10"/>
  <c r="K94" i="10"/>
  <c r="T94" i="10"/>
  <c r="A95" i="10"/>
  <c r="C95" i="10"/>
  <c r="E95" i="10"/>
  <c r="L95" i="10" s="1"/>
  <c r="F95" i="10"/>
  <c r="G95" i="10"/>
  <c r="H95" i="10"/>
  <c r="I95" i="10"/>
  <c r="J95" i="10"/>
  <c r="K95" i="10"/>
  <c r="T95" i="10"/>
  <c r="A96" i="10"/>
  <c r="C96" i="10"/>
  <c r="E96" i="10"/>
  <c r="F96" i="10"/>
  <c r="G96" i="10"/>
  <c r="H96" i="10"/>
  <c r="I96" i="10"/>
  <c r="J96" i="10"/>
  <c r="K96" i="10"/>
  <c r="L96" i="10"/>
  <c r="M96" i="10"/>
  <c r="R96" i="10"/>
  <c r="S96" i="10"/>
  <c r="T96" i="10"/>
  <c r="A97" i="10"/>
  <c r="C97" i="10"/>
  <c r="E97" i="10"/>
  <c r="S97" i="10" s="1"/>
  <c r="F97" i="10"/>
  <c r="G97" i="10"/>
  <c r="H97" i="10"/>
  <c r="I97" i="10"/>
  <c r="J97" i="10"/>
  <c r="K97" i="10"/>
  <c r="R97" i="10"/>
  <c r="T97" i="10"/>
  <c r="A98" i="10"/>
  <c r="C98" i="10"/>
  <c r="E98" i="10"/>
  <c r="M98" i="10" s="1"/>
  <c r="F98" i="10"/>
  <c r="G98" i="10"/>
  <c r="H98" i="10"/>
  <c r="I98" i="10"/>
  <c r="J98" i="10"/>
  <c r="K98" i="10"/>
  <c r="L98" i="10"/>
  <c r="R98" i="10"/>
  <c r="T98" i="10"/>
  <c r="A99" i="10"/>
  <c r="C99" i="10"/>
  <c r="E99" i="10"/>
  <c r="M99" i="10" s="1"/>
  <c r="F99" i="10"/>
  <c r="G99" i="10"/>
  <c r="H99" i="10"/>
  <c r="I99" i="10"/>
  <c r="J99" i="10"/>
  <c r="K99" i="10"/>
  <c r="L99" i="10"/>
  <c r="R99" i="10"/>
  <c r="S99" i="10"/>
  <c r="T99" i="10"/>
  <c r="A100" i="10"/>
  <c r="C100" i="10"/>
  <c r="E100" i="10"/>
  <c r="L100" i="10" s="1"/>
  <c r="F100" i="10"/>
  <c r="G100" i="10"/>
  <c r="H100" i="10"/>
  <c r="I100" i="10"/>
  <c r="J100" i="10"/>
  <c r="K100" i="10"/>
  <c r="T100" i="10"/>
  <c r="A101" i="10"/>
  <c r="C101" i="10"/>
  <c r="E101" i="10"/>
  <c r="L101" i="10" s="1"/>
  <c r="F101" i="10"/>
  <c r="G101" i="10"/>
  <c r="H101" i="10"/>
  <c r="I101" i="10"/>
  <c r="J101" i="10"/>
  <c r="K101" i="10"/>
  <c r="T101" i="10"/>
  <c r="A102" i="10"/>
  <c r="C102" i="10"/>
  <c r="E102" i="10"/>
  <c r="F102" i="10"/>
  <c r="G102" i="10"/>
  <c r="H102" i="10"/>
  <c r="I102" i="10"/>
  <c r="J102" i="10"/>
  <c r="K102" i="10"/>
  <c r="L102" i="10"/>
  <c r="M102" i="10"/>
  <c r="R102" i="10"/>
  <c r="S102" i="10"/>
  <c r="T102" i="10"/>
  <c r="A103" i="10"/>
  <c r="C103" i="10"/>
  <c r="E103" i="10"/>
  <c r="S103" i="10" s="1"/>
  <c r="F103" i="10"/>
  <c r="G103" i="10"/>
  <c r="H103" i="10"/>
  <c r="I103" i="10"/>
  <c r="J103" i="10"/>
  <c r="K103" i="10"/>
  <c r="M103" i="10"/>
  <c r="T103" i="10"/>
  <c r="A104" i="10"/>
  <c r="C104" i="10"/>
  <c r="E104" i="10"/>
  <c r="M104" i="10" s="1"/>
  <c r="F104" i="10"/>
  <c r="G104" i="10"/>
  <c r="H104" i="10"/>
  <c r="I104" i="10"/>
  <c r="J104" i="10"/>
  <c r="K104" i="10"/>
  <c r="L104" i="10"/>
  <c r="R104" i="10"/>
  <c r="T104" i="10"/>
  <c r="A105" i="10"/>
  <c r="C105" i="10"/>
  <c r="E105" i="10"/>
  <c r="M105" i="10" s="1"/>
  <c r="F105" i="10"/>
  <c r="G105" i="10"/>
  <c r="H105" i="10"/>
  <c r="I105" i="10"/>
  <c r="J105" i="10"/>
  <c r="K105" i="10"/>
  <c r="L105" i="10"/>
  <c r="R105" i="10"/>
  <c r="T105" i="10"/>
  <c r="A106" i="10"/>
  <c r="C106" i="10"/>
  <c r="E106" i="10"/>
  <c r="L106" i="10" s="1"/>
  <c r="F106" i="10"/>
  <c r="G106" i="10"/>
  <c r="H106" i="10"/>
  <c r="I106" i="10"/>
  <c r="J106" i="10"/>
  <c r="K106" i="10"/>
  <c r="T106" i="10"/>
  <c r="A107" i="10"/>
  <c r="C107" i="10"/>
  <c r="E107" i="10"/>
  <c r="F107" i="10"/>
  <c r="G107" i="10"/>
  <c r="H107" i="10"/>
  <c r="I107" i="10"/>
  <c r="J107" i="10"/>
  <c r="K107" i="10"/>
  <c r="T107" i="10"/>
  <c r="A108" i="10"/>
  <c r="C108" i="10"/>
  <c r="E108" i="10"/>
  <c r="S108" i="10" s="1"/>
  <c r="F108" i="10"/>
  <c r="G108" i="10"/>
  <c r="H108" i="10"/>
  <c r="I108" i="10"/>
  <c r="J108" i="10"/>
  <c r="K108" i="10"/>
  <c r="L108" i="10"/>
  <c r="R108" i="10"/>
  <c r="T108" i="10"/>
  <c r="A109" i="10"/>
  <c r="C109" i="10"/>
  <c r="E109" i="10"/>
  <c r="S109" i="10" s="1"/>
  <c r="F109" i="10"/>
  <c r="G109" i="10"/>
  <c r="H109" i="10"/>
  <c r="I109" i="10"/>
  <c r="J109" i="10"/>
  <c r="K109" i="10"/>
  <c r="L109" i="10"/>
  <c r="M109" i="10"/>
  <c r="R109" i="10"/>
  <c r="T109" i="10"/>
  <c r="A110" i="10"/>
  <c r="C110" i="10"/>
  <c r="E110" i="10"/>
  <c r="M110" i="10" s="1"/>
  <c r="F110" i="10"/>
  <c r="G110" i="10"/>
  <c r="H110" i="10"/>
  <c r="I110" i="10"/>
  <c r="J110" i="10"/>
  <c r="K110" i="10"/>
  <c r="R110" i="10"/>
  <c r="T110" i="10"/>
  <c r="A111" i="10"/>
  <c r="C111" i="10"/>
  <c r="E111" i="10"/>
  <c r="M111" i="10" s="1"/>
  <c r="F111" i="10"/>
  <c r="G111" i="10"/>
  <c r="H111" i="10"/>
  <c r="I111" i="10"/>
  <c r="J111" i="10"/>
  <c r="K111" i="10"/>
  <c r="R111" i="10"/>
  <c r="T111" i="10"/>
  <c r="A112" i="10"/>
  <c r="C112" i="10"/>
  <c r="E112" i="10"/>
  <c r="M112" i="10" s="1"/>
  <c r="F112" i="10"/>
  <c r="G112" i="10"/>
  <c r="H112" i="10"/>
  <c r="I112" i="10"/>
  <c r="J112" i="10"/>
  <c r="K112" i="10"/>
  <c r="T112" i="10"/>
  <c r="A113" i="10"/>
  <c r="C113" i="10"/>
  <c r="E113" i="10"/>
  <c r="F113" i="10"/>
  <c r="G113" i="10"/>
  <c r="H113" i="10"/>
  <c r="I113" i="10"/>
  <c r="J113" i="10"/>
  <c r="K113" i="10"/>
  <c r="T113" i="10"/>
  <c r="A114" i="10"/>
  <c r="C114" i="10"/>
  <c r="E114" i="10"/>
  <c r="S114" i="10" s="1"/>
  <c r="F114" i="10"/>
  <c r="G114" i="10"/>
  <c r="H114" i="10"/>
  <c r="I114" i="10"/>
  <c r="J114" i="10"/>
  <c r="K114" i="10"/>
  <c r="L114" i="10"/>
  <c r="R114" i="10"/>
  <c r="T114" i="10"/>
  <c r="A115" i="10"/>
  <c r="C115" i="10"/>
  <c r="E115" i="10"/>
  <c r="S115" i="10" s="1"/>
  <c r="F115" i="10"/>
  <c r="G115" i="10"/>
  <c r="H115" i="10"/>
  <c r="I115" i="10"/>
  <c r="J115" i="10"/>
  <c r="K115" i="10"/>
  <c r="L115" i="10"/>
  <c r="M115" i="10"/>
  <c r="R115" i="10"/>
  <c r="T115" i="10"/>
  <c r="A116" i="10"/>
  <c r="C116" i="10"/>
  <c r="E116" i="10"/>
  <c r="M116" i="10" s="1"/>
  <c r="F116" i="10"/>
  <c r="G116" i="10"/>
  <c r="H116" i="10"/>
  <c r="I116" i="10"/>
  <c r="J116" i="10"/>
  <c r="K116" i="10"/>
  <c r="R116" i="10"/>
  <c r="T116" i="10"/>
  <c r="A117" i="10"/>
  <c r="C117" i="10"/>
  <c r="E117" i="10"/>
  <c r="M117" i="10" s="1"/>
  <c r="F117" i="10"/>
  <c r="G117" i="10"/>
  <c r="H117" i="10"/>
  <c r="I117" i="10"/>
  <c r="J117" i="10"/>
  <c r="K117" i="10"/>
  <c r="R117" i="10"/>
  <c r="T117" i="10"/>
  <c r="A118" i="10"/>
  <c r="C118" i="10"/>
  <c r="E118" i="10"/>
  <c r="M118" i="10" s="1"/>
  <c r="F118" i="10"/>
  <c r="G118" i="10"/>
  <c r="H118" i="10"/>
  <c r="I118" i="10"/>
  <c r="J118" i="10"/>
  <c r="K118" i="10"/>
  <c r="T118" i="10"/>
  <c r="A119" i="10"/>
  <c r="C119" i="10"/>
  <c r="E119" i="10"/>
  <c r="F119" i="10"/>
  <c r="G119" i="10"/>
  <c r="H119" i="10"/>
  <c r="I119" i="10"/>
  <c r="J119" i="10"/>
  <c r="K119" i="10"/>
  <c r="T119" i="10"/>
  <c r="A120" i="10"/>
  <c r="C120" i="10"/>
  <c r="E120" i="10"/>
  <c r="S120" i="10" s="1"/>
  <c r="F120" i="10"/>
  <c r="G120" i="10"/>
  <c r="H120" i="10"/>
  <c r="I120" i="10"/>
  <c r="J120" i="10"/>
  <c r="K120" i="10"/>
  <c r="L120" i="10"/>
  <c r="R120" i="10"/>
  <c r="T120" i="10"/>
  <c r="A121" i="10"/>
  <c r="C121" i="10"/>
  <c r="E121" i="10"/>
  <c r="S121" i="10" s="1"/>
  <c r="F121" i="10"/>
  <c r="G121" i="10"/>
  <c r="H121" i="10"/>
  <c r="I121" i="10"/>
  <c r="J121" i="10"/>
  <c r="K121" i="10"/>
  <c r="L121" i="10"/>
  <c r="M121" i="10"/>
  <c r="R121" i="10"/>
  <c r="T121" i="10"/>
  <c r="A122" i="10"/>
  <c r="C122" i="10"/>
  <c r="E122" i="10"/>
  <c r="M122" i="10" s="1"/>
  <c r="F122" i="10"/>
  <c r="G122" i="10"/>
  <c r="H122" i="10"/>
  <c r="I122" i="10"/>
  <c r="J122" i="10"/>
  <c r="K122" i="10"/>
  <c r="R122" i="10"/>
  <c r="T122" i="10"/>
  <c r="A123" i="10"/>
  <c r="C123" i="10"/>
  <c r="E123" i="10"/>
  <c r="M123" i="10" s="1"/>
  <c r="F123" i="10"/>
  <c r="G123" i="10"/>
  <c r="H123" i="10"/>
  <c r="I123" i="10"/>
  <c r="J123" i="10"/>
  <c r="K123" i="10"/>
  <c r="T123" i="10"/>
  <c r="A124" i="10"/>
  <c r="C124" i="10"/>
  <c r="E124" i="10"/>
  <c r="M124" i="10" s="1"/>
  <c r="F124" i="10"/>
  <c r="G124" i="10"/>
  <c r="H124" i="10"/>
  <c r="I124" i="10"/>
  <c r="J124" i="10"/>
  <c r="K124" i="10"/>
  <c r="T124" i="10"/>
  <c r="A125" i="10"/>
  <c r="C125" i="10"/>
  <c r="E125" i="10"/>
  <c r="F125" i="10"/>
  <c r="G125" i="10"/>
  <c r="H125" i="10"/>
  <c r="I125" i="10"/>
  <c r="J125" i="10"/>
  <c r="K125" i="10"/>
  <c r="R125" i="10"/>
  <c r="T125" i="10"/>
  <c r="A126" i="10"/>
  <c r="C126" i="10"/>
  <c r="E126" i="10"/>
  <c r="F126" i="10"/>
  <c r="G126" i="10"/>
  <c r="H126" i="10"/>
  <c r="I126" i="10"/>
  <c r="J126" i="10"/>
  <c r="K126" i="10"/>
  <c r="L126" i="10"/>
  <c r="M126" i="10"/>
  <c r="R126" i="10"/>
  <c r="S126" i="10"/>
  <c r="T126" i="10"/>
  <c r="A127" i="10"/>
  <c r="C127" i="10"/>
  <c r="E127" i="10"/>
  <c r="S127" i="10" s="1"/>
  <c r="F127" i="10"/>
  <c r="G127" i="10"/>
  <c r="H127" i="10"/>
  <c r="I127" i="10"/>
  <c r="J127" i="10"/>
  <c r="K127" i="10"/>
  <c r="T127" i="10"/>
  <c r="A128" i="10"/>
  <c r="C128" i="10"/>
  <c r="E128" i="10"/>
  <c r="M128" i="10" s="1"/>
  <c r="F128" i="10"/>
  <c r="G128" i="10"/>
  <c r="H128" i="10"/>
  <c r="I128" i="10"/>
  <c r="J128" i="10"/>
  <c r="K128" i="10"/>
  <c r="L128" i="10"/>
  <c r="R128" i="10"/>
  <c r="T128" i="10"/>
  <c r="A129" i="10"/>
  <c r="C129" i="10"/>
  <c r="E129" i="10"/>
  <c r="M129" i="10" s="1"/>
  <c r="F129" i="10"/>
  <c r="G129" i="10"/>
  <c r="H129" i="10"/>
  <c r="I129" i="10"/>
  <c r="J129" i="10"/>
  <c r="K129" i="10"/>
  <c r="L129" i="10"/>
  <c r="R129" i="10"/>
  <c r="T129" i="10"/>
  <c r="A130" i="10"/>
  <c r="C130" i="10"/>
  <c r="E130" i="10"/>
  <c r="R130" i="10" s="1"/>
  <c r="F130" i="10"/>
  <c r="G130" i="10"/>
  <c r="H130" i="10"/>
  <c r="I130" i="10"/>
  <c r="J130" i="10"/>
  <c r="K130" i="10"/>
  <c r="L130" i="10"/>
  <c r="M130" i="10"/>
  <c r="T130" i="10"/>
  <c r="A131" i="10"/>
  <c r="C131" i="10"/>
  <c r="E131" i="10"/>
  <c r="F131" i="10"/>
  <c r="G131" i="10"/>
  <c r="H131" i="10"/>
  <c r="I131" i="10"/>
  <c r="J131" i="10"/>
  <c r="K131" i="10"/>
  <c r="T131" i="10"/>
  <c r="A132" i="10"/>
  <c r="C132" i="10"/>
  <c r="E132" i="10"/>
  <c r="L132" i="10" s="1"/>
  <c r="F132" i="10"/>
  <c r="G132" i="10"/>
  <c r="H132" i="10"/>
  <c r="I132" i="10"/>
  <c r="J132" i="10"/>
  <c r="K132" i="10"/>
  <c r="T132" i="10"/>
  <c r="A133" i="10"/>
  <c r="C133" i="10"/>
  <c r="E133" i="10"/>
  <c r="S133" i="10" s="1"/>
  <c r="F133" i="10"/>
  <c r="G133" i="10"/>
  <c r="H133" i="10"/>
  <c r="I133" i="10"/>
  <c r="J133" i="10"/>
  <c r="K133" i="10"/>
  <c r="L133" i="10"/>
  <c r="M133" i="10"/>
  <c r="T133" i="10"/>
  <c r="A134" i="10"/>
  <c r="C134" i="10"/>
  <c r="E134" i="10"/>
  <c r="M134" i="10" s="1"/>
  <c r="F134" i="10"/>
  <c r="G134" i="10"/>
  <c r="H134" i="10"/>
  <c r="I134" i="10"/>
  <c r="J134" i="10"/>
  <c r="K134" i="10"/>
  <c r="L134" i="10"/>
  <c r="T134" i="10"/>
  <c r="A135" i="10"/>
  <c r="C135" i="10"/>
  <c r="E135" i="10"/>
  <c r="M135" i="10" s="1"/>
  <c r="F135" i="10"/>
  <c r="G135" i="10"/>
  <c r="H135" i="10"/>
  <c r="I135" i="10"/>
  <c r="J135" i="10"/>
  <c r="K135" i="10"/>
  <c r="L135" i="10"/>
  <c r="S135" i="10"/>
  <c r="T135" i="10"/>
  <c r="A136" i="10"/>
  <c r="C136" i="10"/>
  <c r="E136" i="10"/>
  <c r="R136" i="10" s="1"/>
  <c r="F136" i="10"/>
  <c r="G136" i="10"/>
  <c r="H136" i="10"/>
  <c r="I136" i="10"/>
  <c r="J136" i="10"/>
  <c r="K136" i="10"/>
  <c r="T136" i="10"/>
  <c r="A137" i="10"/>
  <c r="C137" i="10"/>
  <c r="E137" i="10"/>
  <c r="R137" i="10" s="1"/>
  <c r="F137" i="10"/>
  <c r="G137" i="10"/>
  <c r="H137" i="10"/>
  <c r="I137" i="10"/>
  <c r="J137" i="10"/>
  <c r="K137" i="10"/>
  <c r="T137" i="10"/>
  <c r="A138" i="10"/>
  <c r="C138" i="10"/>
  <c r="E138" i="10"/>
  <c r="M138" i="10" s="1"/>
  <c r="F138" i="10"/>
  <c r="G138" i="10"/>
  <c r="H138" i="10"/>
  <c r="I138" i="10"/>
  <c r="J138" i="10"/>
  <c r="K138" i="10"/>
  <c r="L138" i="10"/>
  <c r="R138" i="10"/>
  <c r="S138" i="10"/>
  <c r="T138" i="10"/>
  <c r="A139" i="10"/>
  <c r="C139" i="10"/>
  <c r="E139" i="10"/>
  <c r="S139" i="10" s="1"/>
  <c r="F139" i="10"/>
  <c r="G139" i="10"/>
  <c r="H139" i="10"/>
  <c r="I139" i="10"/>
  <c r="J139" i="10"/>
  <c r="K139" i="10"/>
  <c r="L139" i="10"/>
  <c r="M139" i="10"/>
  <c r="T139" i="10"/>
  <c r="A140" i="10"/>
  <c r="C140" i="10"/>
  <c r="E140" i="10"/>
  <c r="M140" i="10" s="1"/>
  <c r="F140" i="10"/>
  <c r="G140" i="10"/>
  <c r="H140" i="10"/>
  <c r="I140" i="10"/>
  <c r="J140" i="10"/>
  <c r="K140" i="10"/>
  <c r="T140" i="10"/>
  <c r="A141" i="10"/>
  <c r="C141" i="10"/>
  <c r="E141" i="10"/>
  <c r="M141" i="10" s="1"/>
  <c r="F141" i="10"/>
  <c r="G141" i="10"/>
  <c r="H141" i="10"/>
  <c r="I141" i="10"/>
  <c r="J141" i="10"/>
  <c r="K141" i="10"/>
  <c r="T141" i="10"/>
  <c r="A142" i="10"/>
  <c r="C142" i="10"/>
  <c r="E142" i="10"/>
  <c r="R142" i="10" s="1"/>
  <c r="F142" i="10"/>
  <c r="G142" i="10"/>
  <c r="H142" i="10"/>
  <c r="I142" i="10"/>
  <c r="J142" i="10"/>
  <c r="K142" i="10"/>
  <c r="L142" i="10"/>
  <c r="M142" i="10"/>
  <c r="T142" i="10"/>
  <c r="A143" i="10"/>
  <c r="C143" i="10"/>
  <c r="E143" i="10"/>
  <c r="R143" i="10" s="1"/>
  <c r="F143" i="10"/>
  <c r="G143" i="10"/>
  <c r="H143" i="10"/>
  <c r="I143" i="10"/>
  <c r="J143" i="10"/>
  <c r="K143" i="10"/>
  <c r="T143" i="10"/>
  <c r="A144" i="10"/>
  <c r="C144" i="10"/>
  <c r="E144" i="10"/>
  <c r="L144" i="10" s="1"/>
  <c r="F144" i="10"/>
  <c r="G144" i="10"/>
  <c r="H144" i="10"/>
  <c r="I144" i="10"/>
  <c r="J144" i="10"/>
  <c r="K144" i="10"/>
  <c r="S144" i="10"/>
  <c r="T144" i="10"/>
  <c r="A145" i="10"/>
  <c r="C145" i="10"/>
  <c r="E145" i="10"/>
  <c r="S145" i="10" s="1"/>
  <c r="F145" i="10"/>
  <c r="G145" i="10"/>
  <c r="H145" i="10"/>
  <c r="I145" i="10"/>
  <c r="J145" i="10"/>
  <c r="K145" i="10"/>
  <c r="M145" i="10"/>
  <c r="T145" i="10"/>
  <c r="A146" i="10"/>
  <c r="C146" i="10"/>
  <c r="E146" i="10"/>
  <c r="R146" i="10" s="1"/>
  <c r="F146" i="10"/>
  <c r="G146" i="10"/>
  <c r="H146" i="10"/>
  <c r="I146" i="10"/>
  <c r="J146" i="10"/>
  <c r="K146" i="10"/>
  <c r="L146" i="10"/>
  <c r="T146" i="10"/>
  <c r="A147" i="10"/>
  <c r="C147" i="10"/>
  <c r="E147" i="10"/>
  <c r="M147" i="10" s="1"/>
  <c r="F147" i="10"/>
  <c r="G147" i="10"/>
  <c r="H147" i="10"/>
  <c r="I147" i="10"/>
  <c r="J147" i="10"/>
  <c r="K147" i="10"/>
  <c r="L147" i="10"/>
  <c r="S147" i="10"/>
  <c r="T147" i="10"/>
  <c r="A148" i="10"/>
  <c r="C148" i="10"/>
  <c r="E148" i="10"/>
  <c r="R148" i="10" s="1"/>
  <c r="F148" i="10"/>
  <c r="G148" i="10"/>
  <c r="H148" i="10"/>
  <c r="I148" i="10"/>
  <c r="J148" i="10"/>
  <c r="K148" i="10"/>
  <c r="M148" i="10"/>
  <c r="T148" i="10"/>
  <c r="A149" i="10"/>
  <c r="C149" i="10"/>
  <c r="E149" i="10"/>
  <c r="R149" i="10" s="1"/>
  <c r="F149" i="10"/>
  <c r="G149" i="10"/>
  <c r="H149" i="10"/>
  <c r="I149" i="10"/>
  <c r="J149" i="10"/>
  <c r="K149" i="10"/>
  <c r="T149" i="10"/>
  <c r="A150" i="10"/>
  <c r="C150" i="10"/>
  <c r="E150" i="10"/>
  <c r="S150" i="10" s="1"/>
  <c r="F150" i="10"/>
  <c r="G150" i="10"/>
  <c r="H150" i="10"/>
  <c r="I150" i="10"/>
  <c r="J150" i="10"/>
  <c r="K150" i="10"/>
  <c r="L150" i="10"/>
  <c r="R150" i="10"/>
  <c r="T150" i="10"/>
  <c r="A151" i="10"/>
  <c r="C151" i="10"/>
  <c r="E151" i="10"/>
  <c r="S151" i="10" s="1"/>
  <c r="F151" i="10"/>
  <c r="G151" i="10"/>
  <c r="H151" i="10"/>
  <c r="I151" i="10"/>
  <c r="J151" i="10"/>
  <c r="K151" i="10"/>
  <c r="L151" i="10"/>
  <c r="M151" i="10"/>
  <c r="R151" i="10"/>
  <c r="T151" i="10"/>
  <c r="A152" i="10"/>
  <c r="C152" i="10"/>
  <c r="E152" i="10"/>
  <c r="R152" i="10" s="1"/>
  <c r="F152" i="10"/>
  <c r="G152" i="10"/>
  <c r="H152" i="10"/>
  <c r="I152" i="10"/>
  <c r="J152" i="10"/>
  <c r="K152" i="10"/>
  <c r="T152" i="10"/>
  <c r="A153" i="10"/>
  <c r="C153" i="10"/>
  <c r="E153" i="10"/>
  <c r="M153" i="10" s="1"/>
  <c r="F153" i="10"/>
  <c r="G153" i="10"/>
  <c r="H153" i="10"/>
  <c r="I153" i="10"/>
  <c r="J153" i="10"/>
  <c r="K153" i="10"/>
  <c r="L153" i="10"/>
  <c r="R153" i="10"/>
  <c r="S153" i="10"/>
  <c r="T153" i="10"/>
  <c r="A154" i="10"/>
  <c r="C154" i="10"/>
  <c r="E154" i="10"/>
  <c r="R154" i="10" s="1"/>
  <c r="F154" i="10"/>
  <c r="G154" i="10"/>
  <c r="H154" i="10"/>
  <c r="I154" i="10"/>
  <c r="J154" i="10"/>
  <c r="K154" i="10"/>
  <c r="T154" i="10"/>
  <c r="A155" i="10"/>
  <c r="C155" i="10"/>
  <c r="E155" i="10"/>
  <c r="R155" i="10" s="1"/>
  <c r="F155" i="10"/>
  <c r="G155" i="10"/>
  <c r="H155" i="10"/>
  <c r="I155" i="10"/>
  <c r="J155" i="10"/>
  <c r="K155" i="10"/>
  <c r="T155" i="10"/>
  <c r="A156" i="10"/>
  <c r="C156" i="10"/>
  <c r="E156" i="10"/>
  <c r="F156" i="10"/>
  <c r="G156" i="10"/>
  <c r="H156" i="10"/>
  <c r="I156" i="10"/>
  <c r="J156" i="10"/>
  <c r="K156" i="10"/>
  <c r="L156" i="10"/>
  <c r="M156" i="10"/>
  <c r="R156" i="10"/>
  <c r="S156" i="10"/>
  <c r="T156" i="10"/>
  <c r="A157" i="10"/>
  <c r="C157" i="10"/>
  <c r="E157" i="10"/>
  <c r="S157" i="10" s="1"/>
  <c r="F157" i="10"/>
  <c r="G157" i="10"/>
  <c r="H157" i="10"/>
  <c r="I157" i="10"/>
  <c r="J157" i="10"/>
  <c r="K157" i="10"/>
  <c r="L157" i="10"/>
  <c r="M157" i="10"/>
  <c r="R157" i="10"/>
  <c r="T157" i="10"/>
  <c r="A158" i="10"/>
  <c r="C158" i="10"/>
  <c r="E158" i="10"/>
  <c r="F158" i="10"/>
  <c r="G158" i="10"/>
  <c r="H158" i="10"/>
  <c r="I158" i="10"/>
  <c r="J158" i="10"/>
  <c r="K158" i="10"/>
  <c r="L158" i="10"/>
  <c r="T158" i="10"/>
  <c r="A159" i="10"/>
  <c r="C159" i="10"/>
  <c r="E159" i="10"/>
  <c r="M159" i="10" s="1"/>
  <c r="F159" i="10"/>
  <c r="G159" i="10"/>
  <c r="H159" i="10"/>
  <c r="I159" i="10"/>
  <c r="J159" i="10"/>
  <c r="K159" i="10"/>
  <c r="L159" i="10"/>
  <c r="R159" i="10"/>
  <c r="S159" i="10"/>
  <c r="T159" i="10"/>
  <c r="A160" i="10"/>
  <c r="C160" i="10"/>
  <c r="E160" i="10"/>
  <c r="R160" i="10" s="1"/>
  <c r="F160" i="10"/>
  <c r="G160" i="10"/>
  <c r="H160" i="10"/>
  <c r="I160" i="10"/>
  <c r="J160" i="10"/>
  <c r="K160" i="10"/>
  <c r="L160" i="10"/>
  <c r="M160" i="10"/>
  <c r="T160" i="10"/>
  <c r="A161" i="10"/>
  <c r="C161" i="10"/>
  <c r="E161" i="10"/>
  <c r="F161" i="10"/>
  <c r="G161" i="10"/>
  <c r="H161" i="10"/>
  <c r="I161" i="10"/>
  <c r="J161" i="10"/>
  <c r="K161" i="10"/>
  <c r="T161" i="10"/>
  <c r="A162" i="10"/>
  <c r="C162" i="10"/>
  <c r="E162" i="10"/>
  <c r="L162" i="10" s="1"/>
  <c r="F162" i="10"/>
  <c r="G162" i="10"/>
  <c r="H162" i="10"/>
  <c r="I162" i="10"/>
  <c r="J162" i="10"/>
  <c r="K162" i="10"/>
  <c r="M162" i="10"/>
  <c r="S162" i="10"/>
  <c r="T162" i="10"/>
  <c r="A163" i="10"/>
  <c r="C163" i="10"/>
  <c r="E163" i="10"/>
  <c r="S163" i="10" s="1"/>
  <c r="F163" i="10"/>
  <c r="G163" i="10"/>
  <c r="H163" i="10"/>
  <c r="I163" i="10"/>
  <c r="J163" i="10"/>
  <c r="K163" i="10"/>
  <c r="L163" i="10"/>
  <c r="M163" i="10"/>
  <c r="R163" i="10"/>
  <c r="T163" i="10"/>
  <c r="A164" i="10"/>
  <c r="C164" i="10"/>
  <c r="E164" i="10"/>
  <c r="R164" i="10" s="1"/>
  <c r="F164" i="10"/>
  <c r="G164" i="10"/>
  <c r="H164" i="10"/>
  <c r="I164" i="10"/>
  <c r="J164" i="10"/>
  <c r="K164" i="10"/>
  <c r="L164" i="10"/>
  <c r="T164" i="10"/>
  <c r="A165" i="10"/>
  <c r="C165" i="10"/>
  <c r="E165" i="10"/>
  <c r="M165" i="10" s="1"/>
  <c r="F165" i="10"/>
  <c r="G165" i="10"/>
  <c r="H165" i="10"/>
  <c r="I165" i="10"/>
  <c r="J165" i="10"/>
  <c r="K165" i="10"/>
  <c r="L165" i="10"/>
  <c r="R165" i="10"/>
  <c r="S165" i="10"/>
  <c r="T165" i="10"/>
  <c r="A166" i="10"/>
  <c r="C166" i="10"/>
  <c r="E166" i="10"/>
  <c r="F166" i="10"/>
  <c r="G166" i="10"/>
  <c r="H166" i="10"/>
  <c r="I166" i="10"/>
  <c r="J166" i="10"/>
  <c r="K166" i="10"/>
  <c r="L166" i="10"/>
  <c r="M166" i="10"/>
  <c r="T166" i="10"/>
  <c r="A167" i="10"/>
  <c r="C167" i="10"/>
  <c r="E167" i="10"/>
  <c r="F167" i="10"/>
  <c r="G167" i="10"/>
  <c r="H167" i="10"/>
  <c r="I167" i="10"/>
  <c r="J167" i="10"/>
  <c r="K167" i="10"/>
  <c r="R167" i="10"/>
  <c r="S167" i="10"/>
  <c r="T167" i="10"/>
  <c r="A168" i="10"/>
  <c r="C168" i="10"/>
  <c r="E168" i="10"/>
  <c r="F168" i="10"/>
  <c r="G168" i="10"/>
  <c r="H168" i="10"/>
  <c r="I168" i="10"/>
  <c r="J168" i="10"/>
  <c r="K168" i="10"/>
  <c r="L168" i="10"/>
  <c r="M168" i="10"/>
  <c r="R168" i="10"/>
  <c r="S168" i="10"/>
  <c r="T168" i="10"/>
  <c r="A169" i="10"/>
  <c r="C169" i="10"/>
  <c r="E169" i="10"/>
  <c r="S169" i="10" s="1"/>
  <c r="F169" i="10"/>
  <c r="G169" i="10"/>
  <c r="H169" i="10"/>
  <c r="I169" i="10"/>
  <c r="J169" i="10"/>
  <c r="K169" i="10"/>
  <c r="L169" i="10"/>
  <c r="M169" i="10"/>
  <c r="R169" i="10"/>
  <c r="T169" i="10"/>
  <c r="A170" i="10"/>
  <c r="C170" i="10"/>
  <c r="E170" i="10"/>
  <c r="L170" i="10" s="1"/>
  <c r="F170" i="10"/>
  <c r="G170" i="10"/>
  <c r="H170" i="10"/>
  <c r="I170" i="10"/>
  <c r="J170" i="10"/>
  <c r="K170" i="10"/>
  <c r="T170" i="10"/>
  <c r="A171" i="10"/>
  <c r="C171" i="10"/>
  <c r="E171" i="10"/>
  <c r="M171" i="10" s="1"/>
  <c r="F171" i="10"/>
  <c r="G171" i="10"/>
  <c r="H171" i="10"/>
  <c r="I171" i="10"/>
  <c r="J171" i="10"/>
  <c r="K171" i="10"/>
  <c r="L171" i="10"/>
  <c r="R171" i="10"/>
  <c r="S171" i="10"/>
  <c r="T171" i="10"/>
  <c r="A172" i="10"/>
  <c r="C172" i="10"/>
  <c r="E172" i="10"/>
  <c r="L172" i="10" s="1"/>
  <c r="F172" i="10"/>
  <c r="G172" i="10"/>
  <c r="H172" i="10"/>
  <c r="I172" i="10"/>
  <c r="J172" i="10"/>
  <c r="K172" i="10"/>
  <c r="T172" i="10"/>
  <c r="A173" i="10"/>
  <c r="C173" i="10"/>
  <c r="E173" i="10"/>
  <c r="R173" i="10" s="1"/>
  <c r="F173" i="10"/>
  <c r="G173" i="10"/>
  <c r="H173" i="10"/>
  <c r="I173" i="10"/>
  <c r="J173" i="10"/>
  <c r="K173" i="10"/>
  <c r="T173" i="10"/>
  <c r="A174" i="10"/>
  <c r="C174" i="10"/>
  <c r="E174" i="10"/>
  <c r="L174" i="10" s="1"/>
  <c r="F174" i="10"/>
  <c r="G174" i="10"/>
  <c r="H174" i="10"/>
  <c r="I174" i="10"/>
  <c r="J174" i="10"/>
  <c r="K174" i="10"/>
  <c r="S174" i="10"/>
  <c r="T174" i="10"/>
  <c r="A175" i="10"/>
  <c r="C175" i="10"/>
  <c r="E175" i="10"/>
  <c r="S175" i="10" s="1"/>
  <c r="F175" i="10"/>
  <c r="G175" i="10"/>
  <c r="H175" i="10"/>
  <c r="I175" i="10"/>
  <c r="J175" i="10"/>
  <c r="K175" i="10"/>
  <c r="M175" i="10"/>
  <c r="T175" i="10"/>
  <c r="A176" i="10"/>
  <c r="C176" i="10"/>
  <c r="E176" i="10"/>
  <c r="R176" i="10" s="1"/>
  <c r="F176" i="10"/>
  <c r="G176" i="10"/>
  <c r="H176" i="10"/>
  <c r="I176" i="10"/>
  <c r="J176" i="10"/>
  <c r="K176" i="10"/>
  <c r="L176" i="10"/>
  <c r="T176" i="10"/>
  <c r="A177" i="10"/>
  <c r="C177" i="10"/>
  <c r="E177" i="10"/>
  <c r="M177" i="10" s="1"/>
  <c r="F177" i="10"/>
  <c r="G177" i="10"/>
  <c r="H177" i="10"/>
  <c r="I177" i="10"/>
  <c r="J177" i="10"/>
  <c r="K177" i="10"/>
  <c r="L177" i="10"/>
  <c r="S177" i="10"/>
  <c r="T177" i="10"/>
  <c r="A178" i="10"/>
  <c r="C178" i="10"/>
  <c r="E178" i="10"/>
  <c r="L178" i="10" s="1"/>
  <c r="F178" i="10"/>
  <c r="G178" i="10"/>
  <c r="H178" i="10"/>
  <c r="I178" i="10"/>
  <c r="J178" i="10"/>
  <c r="K178" i="10"/>
  <c r="T178" i="10"/>
  <c r="A179" i="10"/>
  <c r="C179" i="10"/>
  <c r="E179" i="10"/>
  <c r="F179" i="10"/>
  <c r="G179" i="10"/>
  <c r="H179" i="10"/>
  <c r="I179" i="10"/>
  <c r="J179" i="10"/>
  <c r="K179" i="10"/>
  <c r="R179" i="10"/>
  <c r="T179" i="10"/>
  <c r="A180" i="10"/>
  <c r="C180" i="10"/>
  <c r="E180" i="10"/>
  <c r="L180" i="10" s="1"/>
  <c r="F180" i="10"/>
  <c r="G180" i="10"/>
  <c r="H180" i="10"/>
  <c r="I180" i="10"/>
  <c r="J180" i="10"/>
  <c r="K180" i="10"/>
  <c r="M180" i="10"/>
  <c r="S180" i="10"/>
  <c r="T180" i="10"/>
  <c r="A181" i="10"/>
  <c r="C181" i="10"/>
  <c r="E181" i="10"/>
  <c r="S181" i="10" s="1"/>
  <c r="F181" i="10"/>
  <c r="G181" i="10"/>
  <c r="H181" i="10"/>
  <c r="I181" i="10"/>
  <c r="J181" i="10"/>
  <c r="K181" i="10"/>
  <c r="T181" i="10"/>
  <c r="A182" i="10"/>
  <c r="C182" i="10"/>
  <c r="E182" i="10"/>
  <c r="R182" i="10" s="1"/>
  <c r="F182" i="10"/>
  <c r="G182" i="10"/>
  <c r="H182" i="10"/>
  <c r="I182" i="10"/>
  <c r="J182" i="10"/>
  <c r="K182" i="10"/>
  <c r="L182" i="10"/>
  <c r="T182" i="10"/>
  <c r="A183" i="10"/>
  <c r="C183" i="10"/>
  <c r="E183" i="10"/>
  <c r="M183" i="10" s="1"/>
  <c r="F183" i="10"/>
  <c r="G183" i="10"/>
  <c r="H183" i="10"/>
  <c r="I183" i="10"/>
  <c r="J183" i="10"/>
  <c r="K183" i="10"/>
  <c r="L183" i="10"/>
  <c r="T183" i="10"/>
  <c r="A184" i="10"/>
  <c r="C184" i="10"/>
  <c r="E184" i="10"/>
  <c r="L184" i="10" s="1"/>
  <c r="F184" i="10"/>
  <c r="G184" i="10"/>
  <c r="H184" i="10"/>
  <c r="I184" i="10"/>
  <c r="J184" i="10"/>
  <c r="K184" i="10"/>
  <c r="T184" i="10"/>
  <c r="A185" i="10"/>
  <c r="C185" i="10"/>
  <c r="E185" i="10"/>
  <c r="R185" i="10" s="1"/>
  <c r="F185" i="10"/>
  <c r="G185" i="10"/>
  <c r="H185" i="10"/>
  <c r="I185" i="10"/>
  <c r="J185" i="10"/>
  <c r="K185" i="10"/>
  <c r="T185" i="10"/>
  <c r="A186" i="10"/>
  <c r="C186" i="10"/>
  <c r="E186" i="10"/>
  <c r="L186" i="10" s="1"/>
  <c r="F186" i="10"/>
  <c r="G186" i="10"/>
  <c r="H186" i="10"/>
  <c r="I186" i="10"/>
  <c r="J186" i="10"/>
  <c r="K186" i="10"/>
  <c r="R186" i="10"/>
  <c r="S186" i="10"/>
  <c r="T186" i="10"/>
  <c r="A187" i="10"/>
  <c r="C187" i="10"/>
  <c r="E187" i="10"/>
  <c r="S187" i="10" s="1"/>
  <c r="F187" i="10"/>
  <c r="G187" i="10"/>
  <c r="H187" i="10"/>
  <c r="I187" i="10"/>
  <c r="J187" i="10"/>
  <c r="K187" i="10"/>
  <c r="L187" i="10"/>
  <c r="M187" i="10"/>
  <c r="R187" i="10"/>
  <c r="T187" i="10"/>
  <c r="A188" i="10"/>
  <c r="C188" i="10"/>
  <c r="E188" i="10"/>
  <c r="F188" i="10"/>
  <c r="G188" i="10"/>
  <c r="H188" i="10"/>
  <c r="I188" i="10"/>
  <c r="J188" i="10"/>
  <c r="K188" i="10"/>
  <c r="L188" i="10"/>
  <c r="T188" i="10"/>
  <c r="A189" i="10"/>
  <c r="C189" i="10"/>
  <c r="E189" i="10"/>
  <c r="M189" i="10" s="1"/>
  <c r="F189" i="10"/>
  <c r="G189" i="10"/>
  <c r="H189" i="10"/>
  <c r="I189" i="10"/>
  <c r="J189" i="10"/>
  <c r="K189" i="10"/>
  <c r="L189" i="10"/>
  <c r="R189" i="10"/>
  <c r="S189" i="10"/>
  <c r="T189" i="10"/>
  <c r="A190" i="10"/>
  <c r="C190" i="10"/>
  <c r="E190" i="10"/>
  <c r="R190" i="10" s="1"/>
  <c r="F190" i="10"/>
  <c r="G190" i="10"/>
  <c r="H190" i="10"/>
  <c r="I190" i="10"/>
  <c r="J190" i="10"/>
  <c r="K190" i="10"/>
  <c r="L190" i="10"/>
  <c r="S190" i="10"/>
  <c r="T190" i="10"/>
  <c r="A191" i="10"/>
  <c r="C191" i="10"/>
  <c r="E191" i="10"/>
  <c r="L191" i="10" s="1"/>
  <c r="F191" i="10"/>
  <c r="G191" i="10"/>
  <c r="H191" i="10"/>
  <c r="I191" i="10"/>
  <c r="J191" i="10"/>
  <c r="K191" i="10"/>
  <c r="R191" i="10"/>
  <c r="S191" i="10"/>
  <c r="T191" i="10"/>
  <c r="A192" i="10"/>
  <c r="C192" i="10"/>
  <c r="E192" i="10"/>
  <c r="F192" i="10"/>
  <c r="G192" i="10"/>
  <c r="H192" i="10"/>
  <c r="I192" i="10"/>
  <c r="J192" i="10"/>
  <c r="K192" i="10"/>
  <c r="L192" i="10"/>
  <c r="M192" i="10"/>
  <c r="R192" i="10"/>
  <c r="S192" i="10"/>
  <c r="T192" i="10"/>
  <c r="A193" i="10"/>
  <c r="C193" i="10"/>
  <c r="E193" i="10"/>
  <c r="S193" i="10" s="1"/>
  <c r="F193" i="10"/>
  <c r="G193" i="10"/>
  <c r="H193" i="10"/>
  <c r="I193" i="10"/>
  <c r="J193" i="10"/>
  <c r="K193" i="10"/>
  <c r="L193" i="10"/>
  <c r="M193" i="10"/>
  <c r="R193" i="10"/>
  <c r="T193" i="10"/>
  <c r="A194" i="10"/>
  <c r="C194" i="10"/>
  <c r="E194" i="10"/>
  <c r="M194" i="10" s="1"/>
  <c r="F194" i="10"/>
  <c r="G194" i="10"/>
  <c r="H194" i="10"/>
  <c r="I194" i="10"/>
  <c r="J194" i="10"/>
  <c r="K194" i="10"/>
  <c r="T194" i="10"/>
  <c r="A195" i="10"/>
  <c r="C195" i="10"/>
  <c r="E195" i="10"/>
  <c r="F195" i="10"/>
  <c r="G195" i="10"/>
  <c r="H195" i="10"/>
  <c r="I195" i="10"/>
  <c r="J195" i="10"/>
  <c r="K195" i="10"/>
  <c r="T195" i="10"/>
  <c r="A196" i="10"/>
  <c r="C196" i="10"/>
  <c r="E196" i="10"/>
  <c r="R196" i="10" s="1"/>
  <c r="F196" i="10"/>
  <c r="G196" i="10"/>
  <c r="H196" i="10"/>
  <c r="I196" i="10"/>
  <c r="J196" i="10"/>
  <c r="K196" i="10"/>
  <c r="L196" i="10"/>
  <c r="M196" i="10"/>
  <c r="T196" i="10"/>
  <c r="A197" i="10"/>
  <c r="C197" i="10"/>
  <c r="E197" i="10"/>
  <c r="L197" i="10" s="1"/>
  <c r="F197" i="10"/>
  <c r="G197" i="10"/>
  <c r="H197" i="10"/>
  <c r="I197" i="10"/>
  <c r="J197" i="10"/>
  <c r="K197" i="10"/>
  <c r="S197" i="10"/>
  <c r="T197" i="10"/>
  <c r="A198" i="10"/>
  <c r="C198" i="10"/>
  <c r="E198" i="10"/>
  <c r="L198" i="10" s="1"/>
  <c r="F198" i="10"/>
  <c r="G198" i="10"/>
  <c r="H198" i="10"/>
  <c r="I198" i="10"/>
  <c r="J198" i="10"/>
  <c r="K198" i="10"/>
  <c r="T198" i="10"/>
  <c r="A199" i="10"/>
  <c r="C199" i="10"/>
  <c r="E199" i="10"/>
  <c r="S199" i="10" s="1"/>
  <c r="F199" i="10"/>
  <c r="G199" i="10"/>
  <c r="H199" i="10"/>
  <c r="I199" i="10"/>
  <c r="J199" i="10"/>
  <c r="K199" i="10"/>
  <c r="T199" i="10"/>
  <c r="A200" i="10"/>
  <c r="C200" i="10"/>
  <c r="E200" i="10"/>
  <c r="M200" i="10" s="1"/>
  <c r="F200" i="10"/>
  <c r="G200" i="10"/>
  <c r="H200" i="10"/>
  <c r="I200" i="10"/>
  <c r="J200" i="10"/>
  <c r="K200" i="10"/>
  <c r="T200" i="10"/>
  <c r="A201" i="10"/>
  <c r="C201" i="10"/>
  <c r="E201" i="10"/>
  <c r="M201" i="10" s="1"/>
  <c r="F201" i="10"/>
  <c r="G201" i="10"/>
  <c r="H201" i="10"/>
  <c r="I201" i="10"/>
  <c r="J201" i="10"/>
  <c r="K201" i="10"/>
  <c r="T201" i="10"/>
  <c r="A202" i="10"/>
  <c r="C202" i="10"/>
  <c r="E202" i="10"/>
  <c r="R202" i="10" s="1"/>
  <c r="F202" i="10"/>
  <c r="G202" i="10"/>
  <c r="H202" i="10"/>
  <c r="I202" i="10"/>
  <c r="J202" i="10"/>
  <c r="K202" i="10"/>
  <c r="T202" i="10"/>
  <c r="A203" i="10"/>
  <c r="C203" i="10"/>
  <c r="E203" i="10"/>
  <c r="L203" i="10" s="1"/>
  <c r="F203" i="10"/>
  <c r="G203" i="10"/>
  <c r="H203" i="10"/>
  <c r="I203" i="10"/>
  <c r="J203" i="10"/>
  <c r="K203" i="10"/>
  <c r="M203" i="10"/>
  <c r="R203" i="10"/>
  <c r="S203" i="10"/>
  <c r="T203" i="10"/>
  <c r="A204" i="10"/>
  <c r="C204" i="10"/>
  <c r="E204" i="10"/>
  <c r="L204" i="10" s="1"/>
  <c r="F204" i="10"/>
  <c r="G204" i="10"/>
  <c r="H204" i="10"/>
  <c r="I204" i="10"/>
  <c r="J204" i="10"/>
  <c r="K204" i="10"/>
  <c r="S204" i="10"/>
  <c r="T204" i="10"/>
  <c r="A205" i="10"/>
  <c r="C205" i="10"/>
  <c r="E205" i="10"/>
  <c r="S205" i="10" s="1"/>
  <c r="F205" i="10"/>
  <c r="G205" i="10"/>
  <c r="H205" i="10"/>
  <c r="I205" i="10"/>
  <c r="J205" i="10"/>
  <c r="K205" i="10"/>
  <c r="M205" i="10"/>
  <c r="T205" i="10"/>
  <c r="A206" i="10"/>
  <c r="C206" i="10"/>
  <c r="E206" i="10"/>
  <c r="M206" i="10" s="1"/>
  <c r="F206" i="10"/>
  <c r="G206" i="10"/>
  <c r="H206" i="10"/>
  <c r="I206" i="10"/>
  <c r="J206" i="10"/>
  <c r="K206" i="10"/>
  <c r="T206" i="10"/>
  <c r="A207" i="10"/>
  <c r="C207" i="10"/>
  <c r="E207" i="10"/>
  <c r="S207" i="10" s="1"/>
  <c r="F207" i="10"/>
  <c r="G207" i="10"/>
  <c r="H207" i="10"/>
  <c r="I207" i="10"/>
  <c r="J207" i="10"/>
  <c r="K207" i="10"/>
  <c r="T207" i="10"/>
  <c r="A208" i="10"/>
  <c r="C208" i="10"/>
  <c r="E208" i="10"/>
  <c r="R208" i="10" s="1"/>
  <c r="F208" i="10"/>
  <c r="G208" i="10"/>
  <c r="H208" i="10"/>
  <c r="I208" i="10"/>
  <c r="J208" i="10"/>
  <c r="K208" i="10"/>
  <c r="T208" i="10"/>
  <c r="A209" i="10"/>
  <c r="C209" i="10"/>
  <c r="E209" i="10"/>
  <c r="L209" i="10" s="1"/>
  <c r="F209" i="10"/>
  <c r="G209" i="10"/>
  <c r="H209" i="10"/>
  <c r="I209" i="10"/>
  <c r="J209" i="10"/>
  <c r="K209" i="10"/>
  <c r="T209" i="10"/>
  <c r="A210" i="10"/>
  <c r="C210" i="10"/>
  <c r="E210" i="10"/>
  <c r="L210" i="10" s="1"/>
  <c r="F210" i="10"/>
  <c r="G210" i="10"/>
  <c r="H210" i="10"/>
  <c r="I210" i="10"/>
  <c r="J210" i="10"/>
  <c r="K210" i="10"/>
  <c r="R210" i="10"/>
  <c r="T210" i="10"/>
  <c r="A211" i="10"/>
  <c r="C211" i="10"/>
  <c r="E211" i="10"/>
  <c r="S211" i="10" s="1"/>
  <c r="F211" i="10"/>
  <c r="G211" i="10"/>
  <c r="H211" i="10"/>
  <c r="I211" i="10"/>
  <c r="J211" i="10"/>
  <c r="K211" i="10"/>
  <c r="L211" i="10"/>
  <c r="T211" i="10"/>
  <c r="A212" i="10"/>
  <c r="C212" i="10"/>
  <c r="E212" i="10"/>
  <c r="M212" i="10" s="1"/>
  <c r="F212" i="10"/>
  <c r="G212" i="10"/>
  <c r="H212" i="10"/>
  <c r="I212" i="10"/>
  <c r="J212" i="10"/>
  <c r="K212" i="10"/>
  <c r="R212" i="10"/>
  <c r="T212" i="10"/>
  <c r="A213" i="10"/>
  <c r="C213" i="10"/>
  <c r="E213" i="10"/>
  <c r="F213" i="10"/>
  <c r="G213" i="10"/>
  <c r="H213" i="10"/>
  <c r="I213" i="10"/>
  <c r="J213" i="10"/>
  <c r="K213" i="10"/>
  <c r="T213" i="10"/>
  <c r="A214" i="10"/>
  <c r="C214" i="10"/>
  <c r="E214" i="10"/>
  <c r="R214" i="10" s="1"/>
  <c r="F214" i="10"/>
  <c r="G214" i="10"/>
  <c r="H214" i="10"/>
  <c r="I214" i="10"/>
  <c r="J214" i="10"/>
  <c r="K214" i="10"/>
  <c r="S214" i="10"/>
  <c r="T214" i="10"/>
  <c r="A215" i="10"/>
  <c r="C215" i="10"/>
  <c r="E215" i="10"/>
  <c r="S215" i="10" s="1"/>
  <c r="F215" i="10"/>
  <c r="G215" i="10"/>
  <c r="H215" i="10"/>
  <c r="I215" i="10"/>
  <c r="J215" i="10"/>
  <c r="K215" i="10"/>
  <c r="R215" i="10"/>
  <c r="T215" i="10"/>
  <c r="A216" i="10"/>
  <c r="C216" i="10"/>
  <c r="E216" i="10"/>
  <c r="L216" i="10" s="1"/>
  <c r="F216" i="10"/>
  <c r="G216" i="10"/>
  <c r="H216" i="10"/>
  <c r="I216" i="10"/>
  <c r="J216" i="10"/>
  <c r="K216" i="10"/>
  <c r="M216" i="10"/>
  <c r="S216" i="10"/>
  <c r="T216" i="10"/>
  <c r="A217" i="10"/>
  <c r="C217" i="10"/>
  <c r="E217" i="10"/>
  <c r="S217" i="10" s="1"/>
  <c r="F217" i="10"/>
  <c r="G217" i="10"/>
  <c r="H217" i="10"/>
  <c r="I217" i="10"/>
  <c r="J217" i="10"/>
  <c r="K217" i="10"/>
  <c r="R217" i="10"/>
  <c r="T217" i="10"/>
  <c r="A218" i="10"/>
  <c r="C218" i="10"/>
  <c r="E218" i="10"/>
  <c r="M218" i="10" s="1"/>
  <c r="F218" i="10"/>
  <c r="G218" i="10"/>
  <c r="H218" i="10"/>
  <c r="I218" i="10"/>
  <c r="J218" i="10"/>
  <c r="K218" i="10"/>
  <c r="T218" i="10"/>
  <c r="A219" i="10"/>
  <c r="C219" i="10"/>
  <c r="E219" i="10"/>
  <c r="M219" i="10" s="1"/>
  <c r="F219" i="10"/>
  <c r="G219" i="10"/>
  <c r="H219" i="10"/>
  <c r="I219" i="10"/>
  <c r="J219" i="10"/>
  <c r="K219" i="10"/>
  <c r="S219" i="10"/>
  <c r="T219" i="10"/>
  <c r="A220" i="10"/>
  <c r="C220" i="10"/>
  <c r="E220" i="10"/>
  <c r="F220" i="10"/>
  <c r="G220" i="10"/>
  <c r="H220" i="10"/>
  <c r="I220" i="10"/>
  <c r="J220" i="10"/>
  <c r="K220" i="10"/>
  <c r="T220" i="10"/>
  <c r="A221" i="10"/>
  <c r="C221" i="10"/>
  <c r="E221" i="10"/>
  <c r="R221" i="10" s="1"/>
  <c r="F221" i="10"/>
  <c r="G221" i="10"/>
  <c r="H221" i="10"/>
  <c r="I221" i="10"/>
  <c r="J221" i="10"/>
  <c r="K221" i="10"/>
  <c r="T221" i="10"/>
  <c r="A222" i="10"/>
  <c r="C222" i="10"/>
  <c r="E222" i="10"/>
  <c r="L222" i="10" s="1"/>
  <c r="F222" i="10"/>
  <c r="G222" i="10"/>
  <c r="H222" i="10"/>
  <c r="I222" i="10"/>
  <c r="J222" i="10"/>
  <c r="K222" i="10"/>
  <c r="R222" i="10"/>
  <c r="T222" i="10"/>
  <c r="A223" i="10"/>
  <c r="C223" i="10"/>
  <c r="E223" i="10"/>
  <c r="S223" i="10" s="1"/>
  <c r="F223" i="10"/>
  <c r="G223" i="10"/>
  <c r="H223" i="10"/>
  <c r="I223" i="10"/>
  <c r="J223" i="10"/>
  <c r="K223" i="10"/>
  <c r="L223" i="10"/>
  <c r="T223" i="10"/>
  <c r="A224" i="10"/>
  <c r="C224" i="10"/>
  <c r="E224" i="10"/>
  <c r="M224" i="10" s="1"/>
  <c r="F224" i="10"/>
  <c r="G224" i="10"/>
  <c r="H224" i="10"/>
  <c r="I224" i="10"/>
  <c r="J224" i="10"/>
  <c r="K224" i="10"/>
  <c r="T224" i="10"/>
  <c r="A225" i="10"/>
  <c r="C225" i="10"/>
  <c r="E225" i="10"/>
  <c r="M225" i="10" s="1"/>
  <c r="F225" i="10"/>
  <c r="G225" i="10"/>
  <c r="H225" i="10"/>
  <c r="I225" i="10"/>
  <c r="J225" i="10"/>
  <c r="K225" i="10"/>
  <c r="L225" i="10"/>
  <c r="T225" i="10"/>
  <c r="A226" i="10"/>
  <c r="C226" i="10"/>
  <c r="E226" i="10"/>
  <c r="M226" i="10" s="1"/>
  <c r="F226" i="10"/>
  <c r="G226" i="10"/>
  <c r="H226" i="10"/>
  <c r="I226" i="10"/>
  <c r="J226" i="10"/>
  <c r="K226" i="10"/>
  <c r="L226" i="10"/>
  <c r="T226" i="10"/>
  <c r="A227" i="10"/>
  <c r="C227" i="10"/>
  <c r="E227" i="10"/>
  <c r="F227" i="10"/>
  <c r="G227" i="10"/>
  <c r="H227" i="10"/>
  <c r="I227" i="10"/>
  <c r="J227" i="10"/>
  <c r="K227" i="10"/>
  <c r="T227" i="10"/>
  <c r="A228" i="10"/>
  <c r="C228" i="10"/>
  <c r="E228" i="10"/>
  <c r="L228" i="10" s="1"/>
  <c r="F228" i="10"/>
  <c r="G228" i="10"/>
  <c r="H228" i="10"/>
  <c r="I228" i="10"/>
  <c r="J228" i="10"/>
  <c r="K228" i="10"/>
  <c r="S228" i="10"/>
  <c r="T228" i="10"/>
  <c r="A229" i="10"/>
  <c r="C229" i="10"/>
  <c r="E229" i="10"/>
  <c r="S229" i="10" s="1"/>
  <c r="F229" i="10"/>
  <c r="G229" i="10"/>
  <c r="H229" i="10"/>
  <c r="I229" i="10"/>
  <c r="J229" i="10"/>
  <c r="K229" i="10"/>
  <c r="R229" i="10"/>
  <c r="T229" i="10"/>
  <c r="A230" i="10"/>
  <c r="C230" i="10"/>
  <c r="E230" i="10"/>
  <c r="M230" i="10" s="1"/>
  <c r="F230" i="10"/>
  <c r="G230" i="10"/>
  <c r="H230" i="10"/>
  <c r="I230" i="10"/>
  <c r="J230" i="10"/>
  <c r="K230" i="10"/>
  <c r="R230" i="10"/>
  <c r="T230" i="10"/>
  <c r="A231" i="10"/>
  <c r="C231" i="10"/>
  <c r="E231" i="10"/>
  <c r="L231" i="10" s="1"/>
  <c r="F231" i="10"/>
  <c r="G231" i="10"/>
  <c r="H231" i="10"/>
  <c r="I231" i="10"/>
  <c r="J231" i="10"/>
  <c r="K231" i="10"/>
  <c r="M231" i="10"/>
  <c r="S231" i="10"/>
  <c r="T231" i="10"/>
  <c r="A232" i="10"/>
  <c r="C232" i="10"/>
  <c r="E232" i="10"/>
  <c r="M232" i="10" s="1"/>
  <c r="F232" i="10"/>
  <c r="G232" i="10"/>
  <c r="H232" i="10"/>
  <c r="I232" i="10"/>
  <c r="J232" i="10"/>
  <c r="K232" i="10"/>
  <c r="R232" i="10"/>
  <c r="T232" i="10"/>
  <c r="A233" i="10"/>
  <c r="C233" i="10"/>
  <c r="E233" i="10"/>
  <c r="M233" i="10" s="1"/>
  <c r="F233" i="10"/>
  <c r="G233" i="10"/>
  <c r="H233" i="10"/>
  <c r="I233" i="10"/>
  <c r="J233" i="10"/>
  <c r="K233" i="10"/>
  <c r="T233" i="10"/>
  <c r="A234" i="10"/>
  <c r="C234" i="10"/>
  <c r="E234" i="10"/>
  <c r="S234" i="10" s="1"/>
  <c r="F234" i="10"/>
  <c r="G234" i="10"/>
  <c r="H234" i="10"/>
  <c r="I234" i="10"/>
  <c r="J234" i="10"/>
  <c r="K234" i="10"/>
  <c r="L234" i="10"/>
  <c r="R234" i="10"/>
  <c r="T234" i="10"/>
  <c r="A235" i="10"/>
  <c r="C235" i="10"/>
  <c r="E235" i="10"/>
  <c r="S235" i="10" s="1"/>
  <c r="F235" i="10"/>
  <c r="G235" i="10"/>
  <c r="H235" i="10"/>
  <c r="I235" i="10"/>
  <c r="J235" i="10"/>
  <c r="K235" i="10"/>
  <c r="L235" i="10"/>
  <c r="M235" i="10"/>
  <c r="T235" i="10"/>
  <c r="A236" i="10"/>
  <c r="C236" i="10"/>
  <c r="E236" i="10"/>
  <c r="M236" i="10" s="1"/>
  <c r="F236" i="10"/>
  <c r="G236" i="10"/>
  <c r="H236" i="10"/>
  <c r="I236" i="10"/>
  <c r="J236" i="10"/>
  <c r="K236" i="10"/>
  <c r="S236" i="10"/>
  <c r="T236" i="10"/>
  <c r="A237" i="10"/>
  <c r="C237" i="10"/>
  <c r="E237" i="10"/>
  <c r="L237" i="10" s="1"/>
  <c r="F237" i="10"/>
  <c r="G237" i="10"/>
  <c r="H237" i="10"/>
  <c r="I237" i="10"/>
  <c r="J237" i="10"/>
  <c r="K237" i="10"/>
  <c r="R237" i="10"/>
  <c r="T237" i="10"/>
  <c r="A238" i="10"/>
  <c r="C238" i="10"/>
  <c r="E238" i="10"/>
  <c r="F238" i="10"/>
  <c r="G238" i="10"/>
  <c r="H238" i="10"/>
  <c r="I238" i="10"/>
  <c r="J238" i="10"/>
  <c r="K238" i="10"/>
  <c r="L238" i="10"/>
  <c r="M238" i="10"/>
  <c r="R238" i="10"/>
  <c r="S238" i="10"/>
  <c r="T238" i="10"/>
  <c r="A239" i="10"/>
  <c r="C239" i="10"/>
  <c r="E239" i="10"/>
  <c r="M239" i="10" s="1"/>
  <c r="F239" i="10"/>
  <c r="G239" i="10"/>
  <c r="H239" i="10"/>
  <c r="I239" i="10"/>
  <c r="J239" i="10"/>
  <c r="K239" i="10"/>
  <c r="L239" i="10"/>
  <c r="R239" i="10"/>
  <c r="T239" i="10"/>
  <c r="A240" i="10"/>
  <c r="C240" i="10"/>
  <c r="E240" i="10"/>
  <c r="F240" i="10"/>
  <c r="G240" i="10"/>
  <c r="H240" i="10"/>
  <c r="I240" i="10"/>
  <c r="J240" i="10"/>
  <c r="K240" i="10"/>
  <c r="L240" i="10"/>
  <c r="M240" i="10"/>
  <c r="R240" i="10"/>
  <c r="S240" i="10"/>
  <c r="T240" i="10"/>
  <c r="A241" i="10"/>
  <c r="C241" i="10"/>
  <c r="E241" i="10"/>
  <c r="F241" i="10"/>
  <c r="G241" i="10"/>
  <c r="H241" i="10"/>
  <c r="I241" i="10"/>
  <c r="J241" i="10"/>
  <c r="K241" i="10"/>
  <c r="T241" i="10"/>
  <c r="A242" i="10"/>
  <c r="C242" i="10"/>
  <c r="E242" i="10"/>
  <c r="M242" i="10" s="1"/>
  <c r="F242" i="10"/>
  <c r="G242" i="10"/>
  <c r="H242" i="10"/>
  <c r="I242" i="10"/>
  <c r="J242" i="10"/>
  <c r="K242" i="10"/>
  <c r="R242" i="10"/>
  <c r="T242" i="10"/>
  <c r="A243" i="10"/>
  <c r="C243" i="10"/>
  <c r="E243" i="10"/>
  <c r="R243" i="10" s="1"/>
  <c r="F243" i="10"/>
  <c r="G243" i="10"/>
  <c r="H243" i="10"/>
  <c r="I243" i="10"/>
  <c r="J243" i="10"/>
  <c r="K243" i="10"/>
  <c r="L243" i="10"/>
  <c r="M243" i="10"/>
  <c r="S243" i="10"/>
  <c r="T243" i="10"/>
  <c r="A244" i="10"/>
  <c r="C244" i="10"/>
  <c r="E244" i="10"/>
  <c r="L244" i="10" s="1"/>
  <c r="F244" i="10"/>
  <c r="G244" i="10"/>
  <c r="H244" i="10"/>
  <c r="I244" i="10"/>
  <c r="J244" i="10"/>
  <c r="K244" i="10"/>
  <c r="M244" i="10"/>
  <c r="R244" i="10"/>
  <c r="S244" i="10"/>
  <c r="T244" i="10"/>
  <c r="A245" i="10"/>
  <c r="C245" i="10"/>
  <c r="E245" i="10"/>
  <c r="R245" i="10" s="1"/>
  <c r="F245" i="10"/>
  <c r="G245" i="10"/>
  <c r="H245" i="10"/>
  <c r="I245" i="10"/>
  <c r="J245" i="10"/>
  <c r="K245" i="10"/>
  <c r="L245" i="10"/>
  <c r="M245" i="10"/>
  <c r="T245" i="10"/>
  <c r="A246" i="10"/>
  <c r="C246" i="10"/>
  <c r="E246" i="10"/>
  <c r="L246" i="10" s="1"/>
  <c r="F246" i="10"/>
  <c r="G246" i="10"/>
  <c r="H246" i="10"/>
  <c r="I246" i="10"/>
  <c r="J246" i="10"/>
  <c r="K246" i="10"/>
  <c r="T246" i="10"/>
  <c r="A247" i="10"/>
  <c r="C247" i="10"/>
  <c r="E247" i="10"/>
  <c r="S247" i="10" s="1"/>
  <c r="F247" i="10"/>
  <c r="G247" i="10"/>
  <c r="H247" i="10"/>
  <c r="I247" i="10"/>
  <c r="J247" i="10"/>
  <c r="K247" i="10"/>
  <c r="T247" i="10"/>
  <c r="A248" i="10"/>
  <c r="C248" i="10"/>
  <c r="E248" i="10"/>
  <c r="M248" i="10" s="1"/>
  <c r="F248" i="10"/>
  <c r="G248" i="10"/>
  <c r="H248" i="10"/>
  <c r="I248" i="10"/>
  <c r="J248" i="10"/>
  <c r="K248" i="10"/>
  <c r="L248" i="10"/>
  <c r="R248" i="10"/>
  <c r="S248" i="10"/>
  <c r="T248" i="10"/>
  <c r="A249" i="10"/>
  <c r="C249" i="10"/>
  <c r="E249" i="10"/>
  <c r="F249" i="10"/>
  <c r="G249" i="10"/>
  <c r="H249" i="10"/>
  <c r="I249" i="10"/>
  <c r="J249" i="10"/>
  <c r="K249" i="10"/>
  <c r="T249" i="10"/>
  <c r="A250" i="10"/>
  <c r="C250" i="10"/>
  <c r="E250" i="10"/>
  <c r="R250" i="10" s="1"/>
  <c r="F250" i="10"/>
  <c r="G250" i="10"/>
  <c r="H250" i="10"/>
  <c r="I250" i="10"/>
  <c r="J250" i="10"/>
  <c r="K250" i="10"/>
  <c r="T250" i="10"/>
  <c r="A251" i="10"/>
  <c r="C251" i="10"/>
  <c r="E251" i="10"/>
  <c r="L251" i="10" s="1"/>
  <c r="F251" i="10"/>
  <c r="G251" i="10"/>
  <c r="H251" i="10"/>
  <c r="I251" i="10"/>
  <c r="J251" i="10"/>
  <c r="K251" i="10"/>
  <c r="M251" i="10"/>
  <c r="R251" i="10"/>
  <c r="S251" i="10"/>
  <c r="T251" i="10"/>
  <c r="A252" i="10"/>
  <c r="C252" i="10"/>
  <c r="E252" i="10"/>
  <c r="L252" i="10" s="1"/>
  <c r="F252" i="10"/>
  <c r="G252" i="10"/>
  <c r="H252" i="10"/>
  <c r="I252" i="10"/>
  <c r="J252" i="10"/>
  <c r="K252" i="10"/>
  <c r="T252" i="10"/>
  <c r="A253" i="10"/>
  <c r="C253" i="10"/>
  <c r="E253" i="10"/>
  <c r="S253" i="10" s="1"/>
  <c r="F253" i="10"/>
  <c r="G253" i="10"/>
  <c r="H253" i="10"/>
  <c r="I253" i="10"/>
  <c r="J253" i="10"/>
  <c r="K253" i="10"/>
  <c r="M253" i="10"/>
  <c r="T253" i="10"/>
  <c r="A254" i="10"/>
  <c r="C254" i="10"/>
  <c r="E254" i="10"/>
  <c r="M254" i="10" s="1"/>
  <c r="F254" i="10"/>
  <c r="G254" i="10"/>
  <c r="H254" i="10"/>
  <c r="I254" i="10"/>
  <c r="J254" i="10"/>
  <c r="K254" i="10"/>
  <c r="T254" i="10"/>
  <c r="A255" i="10"/>
  <c r="C255" i="10"/>
  <c r="E255" i="10"/>
  <c r="M255" i="10" s="1"/>
  <c r="F255" i="10"/>
  <c r="G255" i="10"/>
  <c r="H255" i="10"/>
  <c r="I255" i="10"/>
  <c r="J255" i="10"/>
  <c r="K255" i="10"/>
  <c r="L255" i="10"/>
  <c r="T255" i="10"/>
  <c r="A256" i="10"/>
  <c r="C256" i="10"/>
  <c r="E256" i="10"/>
  <c r="F256" i="10"/>
  <c r="G256" i="10"/>
  <c r="H256" i="10"/>
  <c r="I256" i="10"/>
  <c r="J256" i="10"/>
  <c r="K256" i="10"/>
  <c r="T256" i="10"/>
  <c r="A257" i="10"/>
  <c r="C257" i="10"/>
  <c r="E257" i="10"/>
  <c r="R257" i="10" s="1"/>
  <c r="F257" i="10"/>
  <c r="G257" i="10"/>
  <c r="H257" i="10"/>
  <c r="I257" i="10"/>
  <c r="J257" i="10"/>
  <c r="K257" i="10"/>
  <c r="T257" i="10"/>
  <c r="A258" i="10"/>
  <c r="C258" i="10"/>
  <c r="E258" i="10"/>
  <c r="S258" i="10" s="1"/>
  <c r="F258" i="10"/>
  <c r="G258" i="10"/>
  <c r="H258" i="10"/>
  <c r="I258" i="10"/>
  <c r="J258" i="10"/>
  <c r="K258" i="10"/>
  <c r="L258" i="10"/>
  <c r="M258" i="10"/>
  <c r="R258" i="10"/>
  <c r="T258" i="10"/>
  <c r="A259" i="10"/>
  <c r="C259" i="10"/>
  <c r="E259" i="10"/>
  <c r="S259" i="10" s="1"/>
  <c r="F259" i="10"/>
  <c r="G259" i="10"/>
  <c r="H259" i="10"/>
  <c r="I259" i="10"/>
  <c r="J259" i="10"/>
  <c r="K259" i="10"/>
  <c r="L259" i="10"/>
  <c r="R259" i="10"/>
  <c r="T259" i="10"/>
  <c r="A260" i="10"/>
  <c r="C260" i="10"/>
  <c r="E260" i="10"/>
  <c r="M260" i="10" s="1"/>
  <c r="F260" i="10"/>
  <c r="G260" i="10"/>
  <c r="H260" i="10"/>
  <c r="I260" i="10"/>
  <c r="J260" i="10"/>
  <c r="K260" i="10"/>
  <c r="T260" i="10"/>
  <c r="A261" i="10"/>
  <c r="C261" i="10"/>
  <c r="E261" i="10"/>
  <c r="M261" i="10" s="1"/>
  <c r="F261" i="10"/>
  <c r="G261" i="10"/>
  <c r="H261" i="10"/>
  <c r="I261" i="10"/>
  <c r="J261" i="10"/>
  <c r="K261" i="10"/>
  <c r="L261" i="10"/>
  <c r="T261" i="10"/>
  <c r="A262" i="10"/>
  <c r="C262" i="10"/>
  <c r="E262" i="10"/>
  <c r="M262" i="10" s="1"/>
  <c r="F262" i="10"/>
  <c r="G262" i="10"/>
  <c r="H262" i="10"/>
  <c r="I262" i="10"/>
  <c r="J262" i="10"/>
  <c r="K262" i="10"/>
  <c r="L262" i="10"/>
  <c r="T262" i="10"/>
  <c r="A263" i="10"/>
  <c r="C263" i="10"/>
  <c r="E263" i="10"/>
  <c r="F263" i="10"/>
  <c r="G263" i="10"/>
  <c r="H263" i="10"/>
  <c r="I263" i="10"/>
  <c r="J263" i="10"/>
  <c r="K263" i="10"/>
  <c r="T263" i="10"/>
  <c r="A264" i="10"/>
  <c r="C264" i="10"/>
  <c r="E264" i="10"/>
  <c r="L264" i="10" s="1"/>
  <c r="F264" i="10"/>
  <c r="G264" i="10"/>
  <c r="H264" i="10"/>
  <c r="I264" i="10"/>
  <c r="J264" i="10"/>
  <c r="K264" i="10"/>
  <c r="T264" i="10"/>
  <c r="A265" i="10"/>
  <c r="C265" i="10"/>
  <c r="E265" i="10"/>
  <c r="S265" i="10" s="1"/>
  <c r="F265" i="10"/>
  <c r="G265" i="10"/>
  <c r="H265" i="10"/>
  <c r="I265" i="10"/>
  <c r="J265" i="10"/>
  <c r="K265" i="10"/>
  <c r="T265" i="10"/>
  <c r="A266" i="10"/>
  <c r="C266" i="10"/>
  <c r="E266" i="10"/>
  <c r="R266" i="10" s="1"/>
  <c r="F266" i="10"/>
  <c r="G266" i="10"/>
  <c r="H266" i="10"/>
  <c r="I266" i="10"/>
  <c r="J266" i="10"/>
  <c r="K266" i="10"/>
  <c r="T266" i="10"/>
  <c r="A267" i="10"/>
  <c r="C267" i="10"/>
  <c r="E267" i="10"/>
  <c r="L267" i="10" s="1"/>
  <c r="F267" i="10"/>
  <c r="G267" i="10"/>
  <c r="H267" i="10"/>
  <c r="I267" i="10"/>
  <c r="J267" i="10"/>
  <c r="K267" i="10"/>
  <c r="M267" i="10"/>
  <c r="T267" i="10"/>
  <c r="A268" i="10"/>
  <c r="C268" i="10"/>
  <c r="E268" i="10"/>
  <c r="L268" i="10" s="1"/>
  <c r="F268" i="10"/>
  <c r="G268" i="10"/>
  <c r="H268" i="10"/>
  <c r="I268" i="10"/>
  <c r="J268" i="10"/>
  <c r="K268" i="10"/>
  <c r="T268" i="10"/>
  <c r="A269" i="10"/>
  <c r="C269" i="10"/>
  <c r="E269" i="10"/>
  <c r="L269" i="10" s="1"/>
  <c r="F269" i="10"/>
  <c r="G269" i="10"/>
  <c r="H269" i="10"/>
  <c r="I269" i="10"/>
  <c r="J269" i="10"/>
  <c r="K269" i="10"/>
  <c r="M269" i="10"/>
  <c r="R269" i="10"/>
  <c r="S269" i="10"/>
  <c r="T269" i="10"/>
  <c r="A270" i="10"/>
  <c r="C270" i="10"/>
  <c r="E270" i="10"/>
  <c r="L270" i="10" s="1"/>
  <c r="F270" i="10"/>
  <c r="G270" i="10"/>
  <c r="H270" i="10"/>
  <c r="I270" i="10"/>
  <c r="J270" i="10"/>
  <c r="K270" i="10"/>
  <c r="T270" i="10"/>
  <c r="A271" i="10"/>
  <c r="C271" i="10"/>
  <c r="E271" i="10"/>
  <c r="S271" i="10" s="1"/>
  <c r="F271" i="10"/>
  <c r="G271" i="10"/>
  <c r="H271" i="10"/>
  <c r="I271" i="10"/>
  <c r="J271" i="10"/>
  <c r="K271" i="10"/>
  <c r="R271" i="10"/>
  <c r="T271" i="10"/>
  <c r="A272" i="10"/>
  <c r="C272" i="10"/>
  <c r="E272" i="10"/>
  <c r="R272" i="10" s="1"/>
  <c r="F272" i="10"/>
  <c r="G272" i="10"/>
  <c r="H272" i="10"/>
  <c r="I272" i="10"/>
  <c r="J272" i="10"/>
  <c r="K272" i="10"/>
  <c r="T272" i="10"/>
  <c r="A273" i="10"/>
  <c r="C273" i="10"/>
  <c r="E273" i="10"/>
  <c r="L273" i="10" s="1"/>
  <c r="F273" i="10"/>
  <c r="G273" i="10"/>
  <c r="H273" i="10"/>
  <c r="I273" i="10"/>
  <c r="J273" i="10"/>
  <c r="K273" i="10"/>
  <c r="M273" i="10"/>
  <c r="T273" i="10"/>
  <c r="A274" i="10"/>
  <c r="C274" i="10"/>
  <c r="E274" i="10"/>
  <c r="L274" i="10" s="1"/>
  <c r="F274" i="10"/>
  <c r="G274" i="10"/>
  <c r="H274" i="10"/>
  <c r="I274" i="10"/>
  <c r="J274" i="10"/>
  <c r="K274" i="10"/>
  <c r="T274" i="10"/>
  <c r="A275" i="10"/>
  <c r="C275" i="10"/>
  <c r="E275" i="10"/>
  <c r="L275" i="10" s="1"/>
  <c r="F275" i="10"/>
  <c r="G275" i="10"/>
  <c r="H275" i="10"/>
  <c r="I275" i="10"/>
  <c r="J275" i="10"/>
  <c r="K275" i="10"/>
  <c r="M275" i="10"/>
  <c r="S275" i="10"/>
  <c r="T275" i="10"/>
  <c r="A276" i="10"/>
  <c r="C276" i="10"/>
  <c r="E276" i="10"/>
  <c r="L276" i="10" s="1"/>
  <c r="F276" i="10"/>
  <c r="G276" i="10"/>
  <c r="H276" i="10"/>
  <c r="I276" i="10"/>
  <c r="J276" i="10"/>
  <c r="K276" i="10"/>
  <c r="T276" i="10"/>
  <c r="A277" i="10"/>
  <c r="C277" i="10"/>
  <c r="E277" i="10"/>
  <c r="S277" i="10" s="1"/>
  <c r="F277" i="10"/>
  <c r="G277" i="10"/>
  <c r="H277" i="10"/>
  <c r="I277" i="10"/>
  <c r="J277" i="10"/>
  <c r="K277" i="10"/>
  <c r="R277" i="10"/>
  <c r="T277" i="10"/>
  <c r="A278" i="10"/>
  <c r="C278" i="10"/>
  <c r="E278" i="10"/>
  <c r="R278" i="10" s="1"/>
  <c r="F278" i="10"/>
  <c r="G278" i="10"/>
  <c r="H278" i="10"/>
  <c r="I278" i="10"/>
  <c r="J278" i="10"/>
  <c r="K278" i="10"/>
  <c r="L278" i="10"/>
  <c r="T278" i="10"/>
  <c r="A279" i="10"/>
  <c r="C279" i="10"/>
  <c r="E279" i="10"/>
  <c r="L279" i="10" s="1"/>
  <c r="F279" i="10"/>
  <c r="G279" i="10"/>
  <c r="H279" i="10"/>
  <c r="I279" i="10"/>
  <c r="J279" i="10"/>
  <c r="K279" i="10"/>
  <c r="T279" i="10"/>
  <c r="A280" i="10"/>
  <c r="C280" i="10"/>
  <c r="E280" i="10"/>
  <c r="L280" i="10" s="1"/>
  <c r="F280" i="10"/>
  <c r="G280" i="10"/>
  <c r="H280" i="10"/>
  <c r="I280" i="10"/>
  <c r="J280" i="10"/>
  <c r="K280" i="10"/>
  <c r="T280" i="10"/>
  <c r="A281" i="10"/>
  <c r="C281" i="10"/>
  <c r="E281" i="10"/>
  <c r="F281" i="10"/>
  <c r="G281" i="10"/>
  <c r="H281" i="10"/>
  <c r="I281" i="10"/>
  <c r="J281" i="10"/>
  <c r="K281" i="10"/>
  <c r="L281" i="10"/>
  <c r="M281" i="10"/>
  <c r="R281" i="10"/>
  <c r="S281" i="10"/>
  <c r="T281" i="10"/>
  <c r="A282" i="10"/>
  <c r="C282" i="10"/>
  <c r="E282" i="10"/>
  <c r="L282" i="10" s="1"/>
  <c r="F282" i="10"/>
  <c r="G282" i="10"/>
  <c r="H282" i="10"/>
  <c r="I282" i="10"/>
  <c r="J282" i="10"/>
  <c r="K282" i="10"/>
  <c r="M282" i="10"/>
  <c r="T282" i="10"/>
  <c r="A283" i="10"/>
  <c r="C283" i="10"/>
  <c r="E283" i="10"/>
  <c r="F283" i="10"/>
  <c r="G283" i="10"/>
  <c r="H283" i="10"/>
  <c r="I283" i="10"/>
  <c r="J283" i="10"/>
  <c r="K283" i="10"/>
  <c r="T283" i="10"/>
  <c r="A284" i="10"/>
  <c r="C284" i="10"/>
  <c r="E284" i="10"/>
  <c r="R284" i="10" s="1"/>
  <c r="F284" i="10"/>
  <c r="G284" i="10"/>
  <c r="H284" i="10"/>
  <c r="I284" i="10"/>
  <c r="J284" i="10"/>
  <c r="K284" i="10"/>
  <c r="S284" i="10"/>
  <c r="T284" i="10"/>
  <c r="A285" i="10"/>
  <c r="C285" i="10"/>
  <c r="E285" i="10"/>
  <c r="L285" i="10" s="1"/>
  <c r="F285" i="10"/>
  <c r="G285" i="10"/>
  <c r="H285" i="10"/>
  <c r="I285" i="10"/>
  <c r="J285" i="10"/>
  <c r="K285" i="10"/>
  <c r="M285" i="10"/>
  <c r="S285" i="10"/>
  <c r="T285" i="10"/>
  <c r="A286" i="10"/>
  <c r="C286" i="10"/>
  <c r="E286" i="10"/>
  <c r="F286" i="10"/>
  <c r="G286" i="10"/>
  <c r="H286" i="10"/>
  <c r="I286" i="10"/>
  <c r="J286" i="10"/>
  <c r="K286" i="10"/>
  <c r="T286" i="10"/>
  <c r="A287" i="10"/>
  <c r="C287" i="10"/>
  <c r="E287" i="10"/>
  <c r="F287" i="10"/>
  <c r="G287" i="10"/>
  <c r="H287" i="10"/>
  <c r="I287" i="10"/>
  <c r="J287" i="10"/>
  <c r="K287" i="10"/>
  <c r="L287" i="10"/>
  <c r="M287" i="10"/>
  <c r="R287" i="10"/>
  <c r="S287" i="10"/>
  <c r="T287" i="10"/>
  <c r="A288" i="10"/>
  <c r="C288" i="10"/>
  <c r="E288" i="10"/>
  <c r="L288" i="10" s="1"/>
  <c r="F288" i="10"/>
  <c r="G288" i="10"/>
  <c r="H288" i="10"/>
  <c r="I288" i="10"/>
  <c r="J288" i="10"/>
  <c r="K288" i="10"/>
  <c r="M288" i="10"/>
  <c r="T288" i="10"/>
  <c r="A289" i="10"/>
  <c r="C289" i="10"/>
  <c r="E289" i="10"/>
  <c r="F289" i="10"/>
  <c r="G289" i="10"/>
  <c r="H289" i="10"/>
  <c r="I289" i="10"/>
  <c r="J289" i="10"/>
  <c r="K289" i="10"/>
  <c r="T289" i="10"/>
  <c r="A290" i="10"/>
  <c r="C290" i="10"/>
  <c r="E290" i="10"/>
  <c r="R290" i="10" s="1"/>
  <c r="F290" i="10"/>
  <c r="G290" i="10"/>
  <c r="H290" i="10"/>
  <c r="I290" i="10"/>
  <c r="J290" i="10"/>
  <c r="K290" i="10"/>
  <c r="M290" i="10"/>
  <c r="T290" i="10"/>
  <c r="A291" i="10"/>
  <c r="C291" i="10"/>
  <c r="E291" i="10"/>
  <c r="L291" i="10" s="1"/>
  <c r="F291" i="10"/>
  <c r="G291" i="10"/>
  <c r="H291" i="10"/>
  <c r="I291" i="10"/>
  <c r="J291" i="10"/>
  <c r="K291" i="10"/>
  <c r="M291" i="10"/>
  <c r="S291" i="10"/>
  <c r="T291" i="10"/>
  <c r="A292" i="10"/>
  <c r="C292" i="10"/>
  <c r="E292" i="10"/>
  <c r="F292" i="10"/>
  <c r="G292" i="10"/>
  <c r="H292" i="10"/>
  <c r="I292" i="10"/>
  <c r="J292" i="10"/>
  <c r="K292" i="10"/>
  <c r="T292" i="10"/>
  <c r="A293" i="10"/>
  <c r="C293" i="10"/>
  <c r="E293" i="10"/>
  <c r="L293" i="10" s="1"/>
  <c r="F293" i="10"/>
  <c r="G293" i="10"/>
  <c r="H293" i="10"/>
  <c r="I293" i="10"/>
  <c r="J293" i="10"/>
  <c r="K293" i="10"/>
  <c r="M293" i="10"/>
  <c r="S293" i="10"/>
  <c r="T293" i="10"/>
  <c r="A294" i="10"/>
  <c r="C294" i="10"/>
  <c r="E294" i="10"/>
  <c r="L294" i="10" s="1"/>
  <c r="F294" i="10"/>
  <c r="G294" i="10"/>
  <c r="H294" i="10"/>
  <c r="I294" i="10"/>
  <c r="J294" i="10"/>
  <c r="K294" i="10"/>
  <c r="T294" i="10"/>
  <c r="A295" i="10"/>
  <c r="C295" i="10"/>
  <c r="E295" i="10"/>
  <c r="F295" i="10"/>
  <c r="G295" i="10"/>
  <c r="H295" i="10"/>
  <c r="I295" i="10"/>
  <c r="J295" i="10"/>
  <c r="K295" i="10"/>
  <c r="R295" i="10"/>
  <c r="T295" i="10"/>
  <c r="A296" i="10"/>
  <c r="C296" i="10"/>
  <c r="E296" i="10"/>
  <c r="R296" i="10" s="1"/>
  <c r="F296" i="10"/>
  <c r="G296" i="10"/>
  <c r="H296" i="10"/>
  <c r="I296" i="10"/>
  <c r="J296" i="10"/>
  <c r="K296" i="10"/>
  <c r="M296" i="10"/>
  <c r="T296" i="10"/>
  <c r="A297" i="10"/>
  <c r="C297" i="10"/>
  <c r="E297" i="10"/>
  <c r="L297" i="10" s="1"/>
  <c r="F297" i="10"/>
  <c r="G297" i="10"/>
  <c r="H297" i="10"/>
  <c r="I297" i="10"/>
  <c r="J297" i="10"/>
  <c r="K297" i="10"/>
  <c r="M297" i="10"/>
  <c r="T297" i="10"/>
  <c r="A298" i="10"/>
  <c r="C298" i="10"/>
  <c r="E298" i="10"/>
  <c r="F298" i="10"/>
  <c r="G298" i="10"/>
  <c r="H298" i="10"/>
  <c r="I298" i="10"/>
  <c r="J298" i="10"/>
  <c r="K298" i="10"/>
  <c r="T298" i="10"/>
  <c r="A299" i="10"/>
  <c r="C299" i="10"/>
  <c r="E299" i="10"/>
  <c r="L299" i="10" s="1"/>
  <c r="F299" i="10"/>
  <c r="G299" i="10"/>
  <c r="H299" i="10"/>
  <c r="I299" i="10"/>
  <c r="J299" i="10"/>
  <c r="K299" i="10"/>
  <c r="S299" i="10"/>
  <c r="T299" i="10"/>
  <c r="A300" i="10"/>
  <c r="C300" i="10"/>
  <c r="E300" i="10"/>
  <c r="L300" i="10" s="1"/>
  <c r="F300" i="10"/>
  <c r="G300" i="10"/>
  <c r="H300" i="10"/>
  <c r="I300" i="10"/>
  <c r="J300" i="10"/>
  <c r="K300" i="10"/>
  <c r="T300" i="10"/>
  <c r="A301" i="10"/>
  <c r="C301" i="10"/>
  <c r="E301" i="10"/>
  <c r="R301" i="10" s="1"/>
  <c r="F301" i="10"/>
  <c r="G301" i="10"/>
  <c r="H301" i="10"/>
  <c r="I301" i="10"/>
  <c r="J301" i="10"/>
  <c r="K301" i="10"/>
  <c r="T301" i="10"/>
  <c r="A302" i="10"/>
  <c r="C302" i="10"/>
  <c r="E302" i="10"/>
  <c r="R302" i="10" s="1"/>
  <c r="F302" i="10"/>
  <c r="G302" i="10"/>
  <c r="H302" i="10"/>
  <c r="I302" i="10"/>
  <c r="J302" i="10"/>
  <c r="K302" i="10"/>
  <c r="T302" i="10"/>
  <c r="A303" i="10"/>
  <c r="C303" i="10"/>
  <c r="E303" i="10"/>
  <c r="L303" i="10" s="1"/>
  <c r="F303" i="10"/>
  <c r="G303" i="10"/>
  <c r="H303" i="10"/>
  <c r="I303" i="10"/>
  <c r="J303" i="10"/>
  <c r="K303" i="10"/>
  <c r="T303" i="10"/>
  <c r="A304" i="10"/>
  <c r="C304" i="10"/>
  <c r="E304" i="10"/>
  <c r="F304" i="10"/>
  <c r="G304" i="10"/>
  <c r="H304" i="10"/>
  <c r="I304" i="10"/>
  <c r="J304" i="10"/>
  <c r="K304" i="10"/>
  <c r="T304" i="10"/>
  <c r="A305" i="10"/>
  <c r="C305" i="10"/>
  <c r="E305" i="10"/>
  <c r="L305" i="10" s="1"/>
  <c r="F305" i="10"/>
  <c r="G305" i="10"/>
  <c r="H305" i="10"/>
  <c r="I305" i="10"/>
  <c r="J305" i="10"/>
  <c r="K305" i="10"/>
  <c r="T305" i="10"/>
  <c r="A306" i="10"/>
  <c r="C306" i="10"/>
  <c r="E306" i="10"/>
  <c r="L306" i="10" s="1"/>
  <c r="F306" i="10"/>
  <c r="G306" i="10"/>
  <c r="H306" i="10"/>
  <c r="I306" i="10"/>
  <c r="J306" i="10"/>
  <c r="K306" i="10"/>
  <c r="M306" i="10"/>
  <c r="T306" i="10"/>
  <c r="A307" i="10"/>
  <c r="C307" i="10"/>
  <c r="E307" i="10"/>
  <c r="F307" i="10"/>
  <c r="G307" i="10"/>
  <c r="H307" i="10"/>
  <c r="I307" i="10"/>
  <c r="J307" i="10"/>
  <c r="K307" i="10"/>
  <c r="T307" i="10"/>
  <c r="A308" i="10"/>
  <c r="C308" i="10"/>
  <c r="E308" i="10"/>
  <c r="R308" i="10" s="1"/>
  <c r="F308" i="10"/>
  <c r="G308" i="10"/>
  <c r="H308" i="10"/>
  <c r="I308" i="10"/>
  <c r="J308" i="10"/>
  <c r="K308" i="10"/>
  <c r="L308" i="10"/>
  <c r="M308" i="10"/>
  <c r="T308" i="10"/>
  <c r="A309" i="10"/>
  <c r="C309" i="10"/>
  <c r="E309" i="10"/>
  <c r="L309" i="10" s="1"/>
  <c r="F309" i="10"/>
  <c r="G309" i="10"/>
  <c r="H309" i="10"/>
  <c r="I309" i="10"/>
  <c r="J309" i="10"/>
  <c r="K309" i="10"/>
  <c r="M309" i="10"/>
  <c r="T309" i="10"/>
  <c r="A310" i="10"/>
  <c r="C310" i="10"/>
  <c r="E310" i="10"/>
  <c r="F310" i="10"/>
  <c r="G310" i="10"/>
  <c r="H310" i="10"/>
  <c r="I310" i="10"/>
  <c r="J310" i="10"/>
  <c r="K310" i="10"/>
  <c r="T310" i="10"/>
  <c r="A311" i="10"/>
  <c r="C311" i="10"/>
  <c r="E311" i="10"/>
  <c r="L311" i="10" s="1"/>
  <c r="F311" i="10"/>
  <c r="G311" i="10"/>
  <c r="H311" i="10"/>
  <c r="I311" i="10"/>
  <c r="J311" i="10"/>
  <c r="K311" i="10"/>
  <c r="M311" i="10"/>
  <c r="R311" i="10"/>
  <c r="S311" i="10"/>
  <c r="T311" i="10"/>
  <c r="A312" i="10"/>
  <c r="C312" i="10"/>
  <c r="E312" i="10"/>
  <c r="L312" i="10" s="1"/>
  <c r="F312" i="10"/>
  <c r="G312" i="10"/>
  <c r="H312" i="10"/>
  <c r="I312" i="10"/>
  <c r="J312" i="10"/>
  <c r="K312" i="10"/>
  <c r="M312" i="10"/>
  <c r="T312" i="10"/>
  <c r="A313" i="10"/>
  <c r="C313" i="10"/>
  <c r="E313" i="10"/>
  <c r="F313" i="10"/>
  <c r="G313" i="10"/>
  <c r="H313" i="10"/>
  <c r="I313" i="10"/>
  <c r="J313" i="10"/>
  <c r="K313" i="10"/>
  <c r="T313" i="10"/>
  <c r="A314" i="10"/>
  <c r="C314" i="10"/>
  <c r="E314" i="10"/>
  <c r="R314" i="10" s="1"/>
  <c r="F314" i="10"/>
  <c r="G314" i="10"/>
  <c r="H314" i="10"/>
  <c r="I314" i="10"/>
  <c r="J314" i="10"/>
  <c r="K314" i="10"/>
  <c r="M314" i="10"/>
  <c r="T314" i="10"/>
  <c r="A315" i="10"/>
  <c r="C315" i="10"/>
  <c r="E315" i="10"/>
  <c r="L315" i="10" s="1"/>
  <c r="F315" i="10"/>
  <c r="G315" i="10"/>
  <c r="H315" i="10"/>
  <c r="I315" i="10"/>
  <c r="J315" i="10"/>
  <c r="K315" i="10"/>
  <c r="M315" i="10"/>
  <c r="T315" i="10"/>
  <c r="A316" i="10"/>
  <c r="C316" i="10"/>
  <c r="E316" i="10"/>
  <c r="F316" i="10"/>
  <c r="G316" i="10"/>
  <c r="H316" i="10"/>
  <c r="I316" i="10"/>
  <c r="J316" i="10"/>
  <c r="K316" i="10"/>
  <c r="T316" i="10"/>
  <c r="A317" i="10"/>
  <c r="C317" i="10"/>
  <c r="E317" i="10"/>
  <c r="L317" i="10" s="1"/>
  <c r="F317" i="10"/>
  <c r="G317" i="10"/>
  <c r="H317" i="10"/>
  <c r="I317" i="10"/>
  <c r="J317" i="10"/>
  <c r="K317" i="10"/>
  <c r="M317" i="10"/>
  <c r="S317" i="10"/>
  <c r="T317" i="10"/>
  <c r="A318" i="10"/>
  <c r="C318" i="10"/>
  <c r="E318" i="10"/>
  <c r="L318" i="10" s="1"/>
  <c r="F318" i="10"/>
  <c r="G318" i="10"/>
  <c r="H318" i="10"/>
  <c r="I318" i="10"/>
  <c r="J318" i="10"/>
  <c r="K318" i="10"/>
  <c r="T318" i="10"/>
  <c r="A319" i="10"/>
  <c r="C319" i="10"/>
  <c r="E319" i="10"/>
  <c r="F319" i="10"/>
  <c r="G319" i="10"/>
  <c r="H319" i="10"/>
  <c r="I319" i="10"/>
  <c r="J319" i="10"/>
  <c r="K319" i="10"/>
  <c r="T319" i="10"/>
  <c r="A320" i="10"/>
  <c r="C320" i="10"/>
  <c r="E320" i="10"/>
  <c r="L320" i="10" s="1"/>
  <c r="F320" i="10"/>
  <c r="G320" i="10"/>
  <c r="H320" i="10"/>
  <c r="I320" i="10"/>
  <c r="J320" i="10"/>
  <c r="K320" i="10"/>
  <c r="R320" i="10"/>
  <c r="T320" i="10"/>
  <c r="A321" i="10"/>
  <c r="C321" i="10"/>
  <c r="E321" i="10"/>
  <c r="L321" i="10" s="1"/>
  <c r="F321" i="10"/>
  <c r="G321" i="10"/>
  <c r="H321" i="10"/>
  <c r="I321" i="10"/>
  <c r="J321" i="10"/>
  <c r="K321" i="10"/>
  <c r="M321" i="10"/>
  <c r="T321" i="10"/>
  <c r="A322" i="10"/>
  <c r="C322" i="10"/>
  <c r="E322" i="10"/>
  <c r="F322" i="10"/>
  <c r="G322" i="10"/>
  <c r="H322" i="10"/>
  <c r="I322" i="10"/>
  <c r="J322" i="10"/>
  <c r="K322" i="10"/>
  <c r="T322" i="10"/>
  <c r="A323" i="10"/>
  <c r="C323" i="10"/>
  <c r="E323" i="10"/>
  <c r="L323" i="10" s="1"/>
  <c r="F323" i="10"/>
  <c r="G323" i="10"/>
  <c r="H323" i="10"/>
  <c r="I323" i="10"/>
  <c r="J323" i="10"/>
  <c r="K323" i="10"/>
  <c r="T323" i="10"/>
  <c r="A324" i="10"/>
  <c r="C324" i="10"/>
  <c r="E324" i="10"/>
  <c r="L324" i="10" s="1"/>
  <c r="F324" i="10"/>
  <c r="G324" i="10"/>
  <c r="H324" i="10"/>
  <c r="I324" i="10"/>
  <c r="J324" i="10"/>
  <c r="K324" i="10"/>
  <c r="T324" i="10"/>
  <c r="A325" i="10"/>
  <c r="C325" i="10"/>
  <c r="E325" i="10"/>
  <c r="R325" i="10" s="1"/>
  <c r="F325" i="10"/>
  <c r="G325" i="10"/>
  <c r="H325" i="10"/>
  <c r="I325" i="10"/>
  <c r="J325" i="10"/>
  <c r="K325" i="10"/>
  <c r="T325" i="10"/>
  <c r="A326" i="10"/>
  <c r="C326" i="10"/>
  <c r="E326" i="10"/>
  <c r="M326" i="10" s="1"/>
  <c r="F326" i="10"/>
  <c r="G326" i="10"/>
  <c r="H326" i="10"/>
  <c r="I326" i="10"/>
  <c r="J326" i="10"/>
  <c r="K326" i="10"/>
  <c r="L326" i="10"/>
  <c r="S326" i="10"/>
  <c r="T326" i="10"/>
  <c r="A327" i="10"/>
  <c r="C327" i="10"/>
  <c r="E327" i="10"/>
  <c r="L327" i="10" s="1"/>
  <c r="F327" i="10"/>
  <c r="G327" i="10"/>
  <c r="H327" i="10"/>
  <c r="I327" i="10"/>
  <c r="J327" i="10"/>
  <c r="K327" i="10"/>
  <c r="T327" i="10"/>
  <c r="A328" i="10"/>
  <c r="C328" i="10"/>
  <c r="E328" i="10"/>
  <c r="F328" i="10"/>
  <c r="G328" i="10"/>
  <c r="H328" i="10"/>
  <c r="I328" i="10"/>
  <c r="J328" i="10"/>
  <c r="K328" i="10"/>
  <c r="T328" i="10"/>
  <c r="A329" i="10"/>
  <c r="C329" i="10"/>
  <c r="E329" i="10"/>
  <c r="L329" i="10" s="1"/>
  <c r="F329" i="10"/>
  <c r="G329" i="10"/>
  <c r="H329" i="10"/>
  <c r="I329" i="10"/>
  <c r="J329" i="10"/>
  <c r="K329" i="10"/>
  <c r="T329" i="10"/>
  <c r="A330" i="10"/>
  <c r="C330" i="10"/>
  <c r="E330" i="10"/>
  <c r="L330" i="10" s="1"/>
  <c r="F330" i="10"/>
  <c r="G330" i="10"/>
  <c r="H330" i="10"/>
  <c r="I330" i="10"/>
  <c r="J330" i="10"/>
  <c r="K330" i="10"/>
  <c r="M330" i="10"/>
  <c r="T330" i="10"/>
  <c r="A331" i="10"/>
  <c r="C331" i="10"/>
  <c r="E331" i="10"/>
  <c r="R331" i="10" s="1"/>
  <c r="F331" i="10"/>
  <c r="G331" i="10"/>
  <c r="H331" i="10"/>
  <c r="I331" i="10"/>
  <c r="J331" i="10"/>
  <c r="K331" i="10"/>
  <c r="T331" i="10"/>
  <c r="A332" i="10"/>
  <c r="C332" i="10"/>
  <c r="E332" i="10"/>
  <c r="M332" i="10" s="1"/>
  <c r="F332" i="10"/>
  <c r="G332" i="10"/>
  <c r="H332" i="10"/>
  <c r="I332" i="10"/>
  <c r="J332" i="10"/>
  <c r="K332" i="10"/>
  <c r="L332" i="10"/>
  <c r="R332" i="10"/>
  <c r="T332" i="10"/>
  <c r="A333" i="10"/>
  <c r="C333" i="10"/>
  <c r="E333" i="10"/>
  <c r="L333" i="10" s="1"/>
  <c r="F333" i="10"/>
  <c r="G333" i="10"/>
  <c r="H333" i="10"/>
  <c r="I333" i="10"/>
  <c r="J333" i="10"/>
  <c r="K333" i="10"/>
  <c r="M333" i="10"/>
  <c r="T333" i="10"/>
  <c r="A334" i="10"/>
  <c r="C334" i="10"/>
  <c r="E334" i="10"/>
  <c r="F334" i="10"/>
  <c r="G334" i="10"/>
  <c r="H334" i="10"/>
  <c r="I334" i="10"/>
  <c r="J334" i="10"/>
  <c r="K334" i="10"/>
  <c r="T334" i="10"/>
  <c r="A335" i="10"/>
  <c r="C335" i="10"/>
  <c r="E335" i="10"/>
  <c r="L335" i="10" s="1"/>
  <c r="F335" i="10"/>
  <c r="G335" i="10"/>
  <c r="H335" i="10"/>
  <c r="I335" i="10"/>
  <c r="J335" i="10"/>
  <c r="K335" i="10"/>
  <c r="M335" i="10"/>
  <c r="R335" i="10"/>
  <c r="T335" i="10"/>
  <c r="A336" i="10"/>
  <c r="C336" i="10"/>
  <c r="E336" i="10"/>
  <c r="M336" i="10" s="1"/>
  <c r="F336" i="10"/>
  <c r="G336" i="10"/>
  <c r="H336" i="10"/>
  <c r="I336" i="10"/>
  <c r="J336" i="10"/>
  <c r="K336" i="10"/>
  <c r="L336" i="10"/>
  <c r="T336" i="10"/>
  <c r="A337" i="10"/>
  <c r="C337" i="10"/>
  <c r="E337" i="10"/>
  <c r="S337" i="10" s="1"/>
  <c r="F337" i="10"/>
  <c r="G337" i="10"/>
  <c r="H337" i="10"/>
  <c r="I337" i="10"/>
  <c r="J337" i="10"/>
  <c r="K337" i="10"/>
  <c r="R337" i="10"/>
  <c r="T337" i="10"/>
  <c r="A338" i="10"/>
  <c r="C338" i="10"/>
  <c r="E338" i="10"/>
  <c r="M338" i="10" s="1"/>
  <c r="F338" i="10"/>
  <c r="G338" i="10"/>
  <c r="H338" i="10"/>
  <c r="I338" i="10"/>
  <c r="J338" i="10"/>
  <c r="K338" i="10"/>
  <c r="L338" i="10"/>
  <c r="R338" i="10"/>
  <c r="T338" i="10"/>
  <c r="A339" i="10"/>
  <c r="C339" i="10"/>
  <c r="E339" i="10"/>
  <c r="R339" i="10" s="1"/>
  <c r="F339" i="10"/>
  <c r="G339" i="10"/>
  <c r="H339" i="10"/>
  <c r="I339" i="10"/>
  <c r="J339" i="10"/>
  <c r="K339" i="10"/>
  <c r="L339" i="10"/>
  <c r="T339" i="10"/>
  <c r="A340" i="10"/>
  <c r="C340" i="10"/>
  <c r="E340" i="10"/>
  <c r="F340" i="10"/>
  <c r="G340" i="10"/>
  <c r="H340" i="10"/>
  <c r="I340" i="10"/>
  <c r="J340" i="10"/>
  <c r="K340" i="10"/>
  <c r="T340" i="10"/>
  <c r="A341" i="10"/>
  <c r="C341" i="10"/>
  <c r="E341" i="10"/>
  <c r="L341" i="10" s="1"/>
  <c r="F341" i="10"/>
  <c r="G341" i="10"/>
  <c r="H341" i="10"/>
  <c r="I341" i="10"/>
  <c r="J341" i="10"/>
  <c r="K341" i="10"/>
  <c r="M341" i="10"/>
  <c r="S341" i="10"/>
  <c r="T341" i="10"/>
  <c r="A342" i="10"/>
  <c r="C342" i="10"/>
  <c r="E342" i="10"/>
  <c r="L342" i="10" s="1"/>
  <c r="F342" i="10"/>
  <c r="G342" i="10"/>
  <c r="H342" i="10"/>
  <c r="I342" i="10"/>
  <c r="J342" i="10"/>
  <c r="K342" i="10"/>
  <c r="T342" i="10"/>
  <c r="A343" i="10"/>
  <c r="C343" i="10"/>
  <c r="E343" i="10"/>
  <c r="R343" i="10" s="1"/>
  <c r="F343" i="10"/>
  <c r="G343" i="10"/>
  <c r="H343" i="10"/>
  <c r="I343" i="10"/>
  <c r="J343" i="10"/>
  <c r="K343" i="10"/>
  <c r="T343" i="10"/>
  <c r="A344" i="10"/>
  <c r="C344" i="10"/>
  <c r="E344" i="10"/>
  <c r="L344" i="10" s="1"/>
  <c r="F344" i="10"/>
  <c r="G344" i="10"/>
  <c r="H344" i="10"/>
  <c r="I344" i="10"/>
  <c r="J344" i="10"/>
  <c r="K344" i="10"/>
  <c r="T344" i="10"/>
  <c r="A345" i="10"/>
  <c r="C345" i="10"/>
  <c r="E345" i="10"/>
  <c r="S345" i="10" s="1"/>
  <c r="F345" i="10"/>
  <c r="G345" i="10"/>
  <c r="H345" i="10"/>
  <c r="I345" i="10"/>
  <c r="J345" i="10"/>
  <c r="K345" i="10"/>
  <c r="T345" i="10"/>
  <c r="A346" i="10"/>
  <c r="C346" i="10"/>
  <c r="E346" i="10"/>
  <c r="L346" i="10" s="1"/>
  <c r="F346" i="10"/>
  <c r="G346" i="10"/>
  <c r="H346" i="10"/>
  <c r="I346" i="10"/>
  <c r="J346" i="10"/>
  <c r="K346" i="10"/>
  <c r="T346" i="10"/>
  <c r="A347" i="10"/>
  <c r="C347" i="10"/>
  <c r="E347" i="10"/>
  <c r="S347" i="10" s="1"/>
  <c r="F347" i="10"/>
  <c r="G347" i="10"/>
  <c r="H347" i="10"/>
  <c r="I347" i="10"/>
  <c r="J347" i="10"/>
  <c r="K347" i="10"/>
  <c r="T347" i="10"/>
  <c r="A348" i="10"/>
  <c r="C348" i="10"/>
  <c r="E348" i="10"/>
  <c r="F348" i="10"/>
  <c r="G348" i="10"/>
  <c r="H348" i="10"/>
  <c r="I348" i="10"/>
  <c r="J348" i="10"/>
  <c r="K348" i="10"/>
  <c r="T348" i="10"/>
  <c r="A349" i="10"/>
  <c r="C349" i="10"/>
  <c r="E349" i="10"/>
  <c r="F349" i="10"/>
  <c r="G349" i="10"/>
  <c r="H349" i="10"/>
  <c r="I349" i="10"/>
  <c r="J349" i="10"/>
  <c r="K349" i="10"/>
  <c r="T349" i="10"/>
  <c r="A350" i="10"/>
  <c r="C350" i="10"/>
  <c r="E350" i="10"/>
  <c r="L350" i="10" s="1"/>
  <c r="F350" i="10"/>
  <c r="G350" i="10"/>
  <c r="H350" i="10"/>
  <c r="I350" i="10"/>
  <c r="J350" i="10"/>
  <c r="K350" i="10"/>
  <c r="T350" i="10"/>
  <c r="A351" i="10"/>
  <c r="C351" i="10"/>
  <c r="E351" i="10"/>
  <c r="S351" i="10" s="1"/>
  <c r="F351" i="10"/>
  <c r="G351" i="10"/>
  <c r="H351" i="10"/>
  <c r="I351" i="10"/>
  <c r="J351" i="10"/>
  <c r="K351" i="10"/>
  <c r="T351" i="10"/>
  <c r="A352" i="10"/>
  <c r="C352" i="10"/>
  <c r="E352" i="10"/>
  <c r="F352" i="10"/>
  <c r="G352" i="10"/>
  <c r="H352" i="10"/>
  <c r="I352" i="10"/>
  <c r="J352" i="10"/>
  <c r="K352" i="10"/>
  <c r="T352" i="10"/>
  <c r="A353" i="10"/>
  <c r="C353" i="10"/>
  <c r="E353" i="10"/>
  <c r="R353" i="10" s="1"/>
  <c r="F353" i="10"/>
  <c r="G353" i="10"/>
  <c r="H353" i="10"/>
  <c r="I353" i="10"/>
  <c r="J353" i="10"/>
  <c r="K353" i="10"/>
  <c r="L353" i="10"/>
  <c r="M353" i="10"/>
  <c r="S353" i="10"/>
  <c r="T353" i="10"/>
  <c r="A354" i="10"/>
  <c r="C354" i="10"/>
  <c r="E354" i="10"/>
  <c r="L354" i="10" s="1"/>
  <c r="F354" i="10"/>
  <c r="G354" i="10"/>
  <c r="H354" i="10"/>
  <c r="I354" i="10"/>
  <c r="J354" i="10"/>
  <c r="K354" i="10"/>
  <c r="T354" i="10"/>
  <c r="A355" i="10"/>
  <c r="C355" i="10"/>
  <c r="E355" i="10"/>
  <c r="R355" i="10" s="1"/>
  <c r="F355" i="10"/>
  <c r="G355" i="10"/>
  <c r="H355" i="10"/>
  <c r="I355" i="10"/>
  <c r="J355" i="10"/>
  <c r="K355" i="10"/>
  <c r="T355" i="10"/>
  <c r="A356" i="10"/>
  <c r="C356" i="10"/>
  <c r="E356" i="10"/>
  <c r="L356" i="10" s="1"/>
  <c r="F356" i="10"/>
  <c r="G356" i="10"/>
  <c r="H356" i="10"/>
  <c r="I356" i="10"/>
  <c r="J356" i="10"/>
  <c r="K356" i="10"/>
  <c r="M356" i="10"/>
  <c r="T356" i="10"/>
  <c r="A357" i="10"/>
  <c r="C357" i="10"/>
  <c r="E357" i="10"/>
  <c r="S357" i="10" s="1"/>
  <c r="F357" i="10"/>
  <c r="G357" i="10"/>
  <c r="H357" i="10"/>
  <c r="I357" i="10"/>
  <c r="J357" i="10"/>
  <c r="K357" i="10"/>
  <c r="L357" i="10"/>
  <c r="M357" i="10"/>
  <c r="R357" i="10"/>
  <c r="T357" i="10"/>
  <c r="A358" i="10"/>
  <c r="C358" i="10"/>
  <c r="E358" i="10"/>
  <c r="F358" i="10"/>
  <c r="G358" i="10"/>
  <c r="H358" i="10"/>
  <c r="I358" i="10"/>
  <c r="J358" i="10"/>
  <c r="K358" i="10"/>
  <c r="L358" i="10"/>
  <c r="S358" i="10"/>
  <c r="T358" i="10"/>
  <c r="A359" i="10"/>
  <c r="C359" i="10"/>
  <c r="E359" i="10"/>
  <c r="S359" i="10" s="1"/>
  <c r="F359" i="10"/>
  <c r="G359" i="10"/>
  <c r="H359" i="10"/>
  <c r="I359" i="10"/>
  <c r="J359" i="10"/>
  <c r="K359" i="10"/>
  <c r="L359" i="10"/>
  <c r="M359" i="10"/>
  <c r="R359" i="10"/>
  <c r="T359" i="10"/>
  <c r="A360" i="10"/>
  <c r="C360" i="10"/>
  <c r="E360" i="10"/>
  <c r="S360" i="10" s="1"/>
  <c r="F360" i="10"/>
  <c r="G360" i="10"/>
  <c r="H360" i="10"/>
  <c r="I360" i="10"/>
  <c r="J360" i="10"/>
  <c r="K360" i="10"/>
  <c r="T360" i="10"/>
  <c r="A361" i="10"/>
  <c r="C361" i="10"/>
  <c r="E361" i="10"/>
  <c r="M361" i="10" s="1"/>
  <c r="F361" i="10"/>
  <c r="G361" i="10"/>
  <c r="H361" i="10"/>
  <c r="I361" i="10"/>
  <c r="J361" i="10"/>
  <c r="K361" i="10"/>
  <c r="T361" i="10"/>
  <c r="A362" i="10"/>
  <c r="C362" i="10"/>
  <c r="E362" i="10"/>
  <c r="L362" i="10" s="1"/>
  <c r="F362" i="10"/>
  <c r="G362" i="10"/>
  <c r="H362" i="10"/>
  <c r="I362" i="10"/>
  <c r="J362" i="10"/>
  <c r="K362" i="10"/>
  <c r="T362" i="10"/>
  <c r="A363" i="10"/>
  <c r="C363" i="10"/>
  <c r="E363" i="10"/>
  <c r="S363" i="10" s="1"/>
  <c r="F363" i="10"/>
  <c r="G363" i="10"/>
  <c r="H363" i="10"/>
  <c r="I363" i="10"/>
  <c r="J363" i="10"/>
  <c r="K363" i="10"/>
  <c r="T363" i="10"/>
  <c r="A364" i="10"/>
  <c r="C364" i="10"/>
  <c r="E364" i="10"/>
  <c r="F364" i="10"/>
  <c r="G364" i="10"/>
  <c r="H364" i="10"/>
  <c r="I364" i="10"/>
  <c r="J364" i="10"/>
  <c r="K364" i="10"/>
  <c r="T364" i="10"/>
  <c r="A365" i="10"/>
  <c r="C365" i="10"/>
  <c r="E365" i="10"/>
  <c r="F365" i="10"/>
  <c r="G365" i="10"/>
  <c r="H365" i="10"/>
  <c r="I365" i="10"/>
  <c r="J365" i="10"/>
  <c r="K365" i="10"/>
  <c r="L365" i="10"/>
  <c r="M365" i="10"/>
  <c r="R365" i="10"/>
  <c r="S365" i="10"/>
  <c r="T365" i="10"/>
  <c r="A366" i="10"/>
  <c r="C366" i="10"/>
  <c r="E366" i="10"/>
  <c r="S366" i="10" s="1"/>
  <c r="F366" i="10"/>
  <c r="G366" i="10"/>
  <c r="H366" i="10"/>
  <c r="I366" i="10"/>
  <c r="J366" i="10"/>
  <c r="K366" i="10"/>
  <c r="T366" i="10"/>
  <c r="A367" i="10"/>
  <c r="C367" i="10"/>
  <c r="E367" i="10"/>
  <c r="M367" i="10" s="1"/>
  <c r="F367" i="10"/>
  <c r="G367" i="10"/>
  <c r="H367" i="10"/>
  <c r="I367" i="10"/>
  <c r="J367" i="10"/>
  <c r="K367" i="10"/>
  <c r="L367" i="10"/>
  <c r="R367" i="10"/>
  <c r="S367" i="10"/>
  <c r="T367" i="10"/>
  <c r="A368" i="10"/>
  <c r="C368" i="10"/>
  <c r="E368" i="10"/>
  <c r="S368" i="10" s="1"/>
  <c r="F368" i="10"/>
  <c r="G368" i="10"/>
  <c r="H368" i="10"/>
  <c r="I368" i="10"/>
  <c r="J368" i="10"/>
  <c r="K368" i="10"/>
  <c r="L368" i="10"/>
  <c r="M368" i="10"/>
  <c r="R368" i="10"/>
  <c r="T368" i="10"/>
  <c r="A369" i="10"/>
  <c r="C369" i="10"/>
  <c r="E369" i="10"/>
  <c r="S369" i="10" s="1"/>
  <c r="F369" i="10"/>
  <c r="G369" i="10"/>
  <c r="H369" i="10"/>
  <c r="I369" i="10"/>
  <c r="J369" i="10"/>
  <c r="K369" i="10"/>
  <c r="T369" i="10"/>
  <c r="A370" i="10"/>
  <c r="C370" i="10"/>
  <c r="E370" i="10"/>
  <c r="L370" i="10" s="1"/>
  <c r="F370" i="10"/>
  <c r="G370" i="10"/>
  <c r="H370" i="10"/>
  <c r="I370" i="10"/>
  <c r="J370" i="10"/>
  <c r="K370" i="10"/>
  <c r="T370" i="10"/>
  <c r="A371" i="10"/>
  <c r="C371" i="10"/>
  <c r="E371" i="10"/>
  <c r="S371" i="10" s="1"/>
  <c r="F371" i="10"/>
  <c r="G371" i="10"/>
  <c r="H371" i="10"/>
  <c r="I371" i="10"/>
  <c r="J371" i="10"/>
  <c r="K371" i="10"/>
  <c r="T371" i="10"/>
  <c r="A372" i="10"/>
  <c r="C372" i="10"/>
  <c r="E372" i="10"/>
  <c r="S372" i="10" s="1"/>
  <c r="F372" i="10"/>
  <c r="G372" i="10"/>
  <c r="H372" i="10"/>
  <c r="I372" i="10"/>
  <c r="J372" i="10"/>
  <c r="K372" i="10"/>
  <c r="T372" i="10"/>
  <c r="A373" i="10"/>
  <c r="C373" i="10"/>
  <c r="E373" i="10"/>
  <c r="M373" i="10" s="1"/>
  <c r="F373" i="10"/>
  <c r="G373" i="10"/>
  <c r="H373" i="10"/>
  <c r="I373" i="10"/>
  <c r="J373" i="10"/>
  <c r="K373" i="10"/>
  <c r="T373" i="10"/>
  <c r="A374" i="10"/>
  <c r="C374" i="10"/>
  <c r="E374" i="10"/>
  <c r="L374" i="10" s="1"/>
  <c r="F374" i="10"/>
  <c r="G374" i="10"/>
  <c r="H374" i="10"/>
  <c r="I374" i="10"/>
  <c r="J374" i="10"/>
  <c r="K374" i="10"/>
  <c r="T374" i="10"/>
  <c r="A375" i="10"/>
  <c r="C375" i="10"/>
  <c r="E375" i="10"/>
  <c r="S375" i="10" s="1"/>
  <c r="F375" i="10"/>
  <c r="G375" i="10"/>
  <c r="H375" i="10"/>
  <c r="I375" i="10"/>
  <c r="J375" i="10"/>
  <c r="K375" i="10"/>
  <c r="T375" i="10"/>
  <c r="A376" i="10"/>
  <c r="C376" i="10"/>
  <c r="E376" i="10"/>
  <c r="F376" i="10"/>
  <c r="G376" i="10"/>
  <c r="H376" i="10"/>
  <c r="I376" i="10"/>
  <c r="J376" i="10"/>
  <c r="K376" i="10"/>
  <c r="T376" i="10"/>
  <c r="A377" i="10"/>
  <c r="C377" i="10"/>
  <c r="E377" i="10"/>
  <c r="F377" i="10"/>
  <c r="G377" i="10"/>
  <c r="H377" i="10"/>
  <c r="I377" i="10"/>
  <c r="J377" i="10"/>
  <c r="K377" i="10"/>
  <c r="L377" i="10"/>
  <c r="M377" i="10"/>
  <c r="R377" i="10"/>
  <c r="S377" i="10"/>
  <c r="T377" i="10"/>
  <c r="A378" i="10"/>
  <c r="C378" i="10"/>
  <c r="E378" i="10"/>
  <c r="S378" i="10" s="1"/>
  <c r="F378" i="10"/>
  <c r="G378" i="10"/>
  <c r="H378" i="10"/>
  <c r="I378" i="10"/>
  <c r="J378" i="10"/>
  <c r="K378" i="10"/>
  <c r="T378" i="10"/>
  <c r="A379" i="10"/>
  <c r="C379" i="10"/>
  <c r="E379" i="10"/>
  <c r="M379" i="10" s="1"/>
  <c r="F379" i="10"/>
  <c r="G379" i="10"/>
  <c r="H379" i="10"/>
  <c r="I379" i="10"/>
  <c r="J379" i="10"/>
  <c r="K379" i="10"/>
  <c r="T379" i="10"/>
  <c r="A380" i="10"/>
  <c r="C380" i="10"/>
  <c r="E380" i="10"/>
  <c r="S380" i="10" s="1"/>
  <c r="F380" i="10"/>
  <c r="G380" i="10"/>
  <c r="H380" i="10"/>
  <c r="I380" i="10"/>
  <c r="J380" i="10"/>
  <c r="K380" i="10"/>
  <c r="T380" i="10"/>
  <c r="A381" i="10"/>
  <c r="C381" i="10"/>
  <c r="E381" i="10"/>
  <c r="S381" i="10" s="1"/>
  <c r="F381" i="10"/>
  <c r="G381" i="10"/>
  <c r="H381" i="10"/>
  <c r="I381" i="10"/>
  <c r="J381" i="10"/>
  <c r="K381" i="10"/>
  <c r="T381" i="10"/>
  <c r="A382" i="10"/>
  <c r="C382" i="10"/>
  <c r="E382" i="10"/>
  <c r="F382" i="10"/>
  <c r="G382" i="10"/>
  <c r="H382" i="10"/>
  <c r="I382" i="10"/>
  <c r="J382" i="10"/>
  <c r="K382" i="10"/>
  <c r="T382" i="10"/>
  <c r="A383" i="10"/>
  <c r="C383" i="10"/>
  <c r="E383" i="10"/>
  <c r="L383" i="10" s="1"/>
  <c r="F383" i="10"/>
  <c r="G383" i="10"/>
  <c r="H383" i="10"/>
  <c r="I383" i="10"/>
  <c r="J383" i="10"/>
  <c r="K383" i="10"/>
  <c r="T383" i="10"/>
  <c r="A384" i="10"/>
  <c r="C384" i="10"/>
  <c r="E384" i="10"/>
  <c r="S384" i="10" s="1"/>
  <c r="F384" i="10"/>
  <c r="G384" i="10"/>
  <c r="H384" i="10"/>
  <c r="I384" i="10"/>
  <c r="J384" i="10"/>
  <c r="K384" i="10"/>
  <c r="T384" i="10"/>
  <c r="A385" i="10"/>
  <c r="C385" i="10"/>
  <c r="E385" i="10"/>
  <c r="M385" i="10" s="1"/>
  <c r="F385" i="10"/>
  <c r="G385" i="10"/>
  <c r="H385" i="10"/>
  <c r="I385" i="10"/>
  <c r="J385" i="10"/>
  <c r="K385" i="10"/>
  <c r="T385" i="10"/>
  <c r="A386" i="10"/>
  <c r="C386" i="10"/>
  <c r="E386" i="10"/>
  <c r="F386" i="10"/>
  <c r="G386" i="10"/>
  <c r="H386" i="10"/>
  <c r="I386" i="10"/>
  <c r="J386" i="10"/>
  <c r="K386" i="10"/>
  <c r="L386" i="10"/>
  <c r="M386" i="10"/>
  <c r="R386" i="10"/>
  <c r="S386" i="10"/>
  <c r="T386" i="10"/>
  <c r="A387" i="10"/>
  <c r="C387" i="10"/>
  <c r="E387" i="10"/>
  <c r="S387" i="10" s="1"/>
  <c r="F387" i="10"/>
  <c r="G387" i="10"/>
  <c r="H387" i="10"/>
  <c r="I387" i="10"/>
  <c r="J387" i="10"/>
  <c r="K387" i="10"/>
  <c r="T387" i="10"/>
  <c r="A388" i="10"/>
  <c r="C388" i="10"/>
  <c r="E388" i="10"/>
  <c r="L388" i="10" s="1"/>
  <c r="F388" i="10"/>
  <c r="G388" i="10"/>
  <c r="H388" i="10"/>
  <c r="I388" i="10"/>
  <c r="J388" i="10"/>
  <c r="K388" i="10"/>
  <c r="T388" i="10"/>
  <c r="A389" i="10"/>
  <c r="C389" i="10"/>
  <c r="E389" i="10"/>
  <c r="L389" i="10" s="1"/>
  <c r="F389" i="10"/>
  <c r="G389" i="10"/>
  <c r="H389" i="10"/>
  <c r="I389" i="10"/>
  <c r="J389" i="10"/>
  <c r="K389" i="10"/>
  <c r="T389" i="10"/>
  <c r="A390" i="10"/>
  <c r="C390" i="10"/>
  <c r="E390" i="10"/>
  <c r="S390" i="10" s="1"/>
  <c r="F390" i="10"/>
  <c r="G390" i="10"/>
  <c r="H390" i="10"/>
  <c r="I390" i="10"/>
  <c r="J390" i="10"/>
  <c r="K390" i="10"/>
  <c r="R390" i="10"/>
  <c r="T390" i="10"/>
  <c r="A391" i="10"/>
  <c r="C391" i="10"/>
  <c r="E391" i="10"/>
  <c r="M391" i="10" s="1"/>
  <c r="F391" i="10"/>
  <c r="G391" i="10"/>
  <c r="H391" i="10"/>
  <c r="I391" i="10"/>
  <c r="J391" i="10"/>
  <c r="K391" i="10"/>
  <c r="R391" i="10"/>
  <c r="S391" i="10"/>
  <c r="T391" i="10"/>
  <c r="A392" i="10"/>
  <c r="C392" i="10"/>
  <c r="E392" i="10"/>
  <c r="S392" i="10" s="1"/>
  <c r="F392" i="10"/>
  <c r="G392" i="10"/>
  <c r="H392" i="10"/>
  <c r="I392" i="10"/>
  <c r="J392" i="10"/>
  <c r="K392" i="10"/>
  <c r="L392" i="10"/>
  <c r="M392" i="10"/>
  <c r="R392" i="10"/>
  <c r="T392" i="10"/>
  <c r="A393" i="10"/>
  <c r="C393" i="10"/>
  <c r="E393" i="10"/>
  <c r="S393" i="10" s="1"/>
  <c r="F393" i="10"/>
  <c r="G393" i="10"/>
  <c r="H393" i="10"/>
  <c r="I393" i="10"/>
  <c r="J393" i="10"/>
  <c r="K393" i="10"/>
  <c r="T393" i="10"/>
  <c r="A394" i="10"/>
  <c r="C394" i="10"/>
  <c r="E394" i="10"/>
  <c r="F394" i="10"/>
  <c r="G394" i="10"/>
  <c r="H394" i="10"/>
  <c r="I394" i="10"/>
  <c r="J394" i="10"/>
  <c r="K394" i="10"/>
  <c r="T394" i="10"/>
  <c r="A395" i="10"/>
  <c r="C395" i="10"/>
  <c r="E395" i="10"/>
  <c r="L395" i="10" s="1"/>
  <c r="F395" i="10"/>
  <c r="G395" i="10"/>
  <c r="H395" i="10"/>
  <c r="I395" i="10"/>
  <c r="J395" i="10"/>
  <c r="K395" i="10"/>
  <c r="R395" i="10"/>
  <c r="S395" i="10"/>
  <c r="T395" i="10"/>
  <c r="A396" i="10"/>
  <c r="C396" i="10"/>
  <c r="E396" i="10"/>
  <c r="S396" i="10" s="1"/>
  <c r="F396" i="10"/>
  <c r="G396" i="10"/>
  <c r="H396" i="10"/>
  <c r="I396" i="10"/>
  <c r="J396" i="10"/>
  <c r="K396" i="10"/>
  <c r="T396" i="10"/>
  <c r="A397" i="10"/>
  <c r="C397" i="10"/>
  <c r="E397" i="10"/>
  <c r="M397" i="10" s="1"/>
  <c r="F397" i="10"/>
  <c r="G397" i="10"/>
  <c r="H397" i="10"/>
  <c r="I397" i="10"/>
  <c r="J397" i="10"/>
  <c r="K397" i="10"/>
  <c r="T397" i="10"/>
  <c r="A398" i="10"/>
  <c r="C398" i="10"/>
  <c r="E398" i="10"/>
  <c r="L398" i="10" s="1"/>
  <c r="F398" i="10"/>
  <c r="G398" i="10"/>
  <c r="H398" i="10"/>
  <c r="I398" i="10"/>
  <c r="J398" i="10"/>
  <c r="K398" i="10"/>
  <c r="T398" i="10"/>
  <c r="A399" i="10"/>
  <c r="C399" i="10"/>
  <c r="E399" i="10"/>
  <c r="L399" i="10" s="1"/>
  <c r="F399" i="10"/>
  <c r="G399" i="10"/>
  <c r="H399" i="10"/>
  <c r="I399" i="10"/>
  <c r="J399" i="10"/>
  <c r="K399" i="10"/>
  <c r="R399" i="10"/>
  <c r="S399" i="10"/>
  <c r="T399" i="10"/>
  <c r="A400" i="10"/>
  <c r="C400" i="10"/>
  <c r="E400" i="10"/>
  <c r="R400" i="10" s="1"/>
  <c r="F400" i="10"/>
  <c r="G400" i="10"/>
  <c r="H400" i="10"/>
  <c r="I400" i="10"/>
  <c r="J400" i="10"/>
  <c r="K400" i="10"/>
  <c r="L400" i="10"/>
  <c r="M400" i="10"/>
  <c r="S400" i="10"/>
  <c r="T400" i="10"/>
  <c r="A401" i="10"/>
  <c r="C401" i="10"/>
  <c r="E401" i="10"/>
  <c r="F401" i="10"/>
  <c r="G401" i="10"/>
  <c r="H401" i="10"/>
  <c r="I401" i="10"/>
  <c r="J401" i="10"/>
  <c r="K401" i="10"/>
  <c r="L401" i="10"/>
  <c r="M401" i="10"/>
  <c r="R401" i="10"/>
  <c r="S401" i="10"/>
  <c r="T401" i="10"/>
  <c r="A402" i="10"/>
  <c r="C402" i="10"/>
  <c r="E402" i="10"/>
  <c r="S402" i="10" s="1"/>
  <c r="F402" i="10"/>
  <c r="G402" i="10"/>
  <c r="H402" i="10"/>
  <c r="I402" i="10"/>
  <c r="J402" i="10"/>
  <c r="K402" i="10"/>
  <c r="T402" i="10"/>
  <c r="A403" i="10"/>
  <c r="C403" i="10"/>
  <c r="E403" i="10"/>
  <c r="M403" i="10" s="1"/>
  <c r="F403" i="10"/>
  <c r="G403" i="10"/>
  <c r="H403" i="10"/>
  <c r="I403" i="10"/>
  <c r="J403" i="10"/>
  <c r="K403" i="10"/>
  <c r="T403" i="10"/>
  <c r="A404" i="10"/>
  <c r="C404" i="10"/>
  <c r="E404" i="10"/>
  <c r="L404" i="10" s="1"/>
  <c r="F404" i="10"/>
  <c r="G404" i="10"/>
  <c r="H404" i="10"/>
  <c r="I404" i="10"/>
  <c r="J404" i="10"/>
  <c r="K404" i="10"/>
  <c r="T404" i="10"/>
  <c r="A405" i="10"/>
  <c r="C405" i="10"/>
  <c r="E405" i="10"/>
  <c r="L405" i="10" s="1"/>
  <c r="F405" i="10"/>
  <c r="G405" i="10"/>
  <c r="H405" i="10"/>
  <c r="I405" i="10"/>
  <c r="J405" i="10"/>
  <c r="K405" i="10"/>
  <c r="T405" i="10"/>
  <c r="A406" i="10"/>
  <c r="C406" i="10"/>
  <c r="E406" i="10"/>
  <c r="R406" i="10" s="1"/>
  <c r="F406" i="10"/>
  <c r="G406" i="10"/>
  <c r="H406" i="10"/>
  <c r="I406" i="10"/>
  <c r="J406" i="10"/>
  <c r="K406" i="10"/>
  <c r="T406" i="10"/>
  <c r="A407" i="10"/>
  <c r="C407" i="10"/>
  <c r="E407" i="10"/>
  <c r="L407" i="10" s="1"/>
  <c r="F407" i="10"/>
  <c r="G407" i="10"/>
  <c r="H407" i="10"/>
  <c r="I407" i="10"/>
  <c r="J407" i="10"/>
  <c r="K407" i="10"/>
  <c r="T407" i="10"/>
  <c r="A408" i="10"/>
  <c r="C408" i="10"/>
  <c r="E408" i="10"/>
  <c r="S408" i="10" s="1"/>
  <c r="F408" i="10"/>
  <c r="G408" i="10"/>
  <c r="H408" i="10"/>
  <c r="I408" i="10"/>
  <c r="J408" i="10"/>
  <c r="K408" i="10"/>
  <c r="R408" i="10"/>
  <c r="T408" i="10"/>
  <c r="A409" i="10"/>
  <c r="C409" i="10"/>
  <c r="E409" i="10"/>
  <c r="M409" i="10" s="1"/>
  <c r="F409" i="10"/>
  <c r="G409" i="10"/>
  <c r="H409" i="10"/>
  <c r="I409" i="10"/>
  <c r="J409" i="10"/>
  <c r="K409" i="10"/>
  <c r="R409" i="10"/>
  <c r="T409" i="10"/>
  <c r="A410" i="10"/>
  <c r="C410" i="10"/>
  <c r="E410" i="10"/>
  <c r="M410" i="10" s="1"/>
  <c r="F410" i="10"/>
  <c r="G410" i="10"/>
  <c r="H410" i="10"/>
  <c r="I410" i="10"/>
  <c r="J410" i="10"/>
  <c r="K410" i="10"/>
  <c r="T410" i="10"/>
  <c r="A411" i="10"/>
  <c r="C411" i="10"/>
  <c r="E411" i="10"/>
  <c r="L411" i="10" s="1"/>
  <c r="F411" i="10"/>
  <c r="G411" i="10"/>
  <c r="H411" i="10"/>
  <c r="I411" i="10"/>
  <c r="J411" i="10"/>
  <c r="K411" i="10"/>
  <c r="T411" i="10"/>
  <c r="A412" i="10"/>
  <c r="C412" i="10"/>
  <c r="E412" i="10"/>
  <c r="R412" i="10" s="1"/>
  <c r="F412" i="10"/>
  <c r="G412" i="10"/>
  <c r="H412" i="10"/>
  <c r="I412" i="10"/>
  <c r="J412" i="10"/>
  <c r="K412" i="10"/>
  <c r="T412" i="10"/>
  <c r="A413" i="10"/>
  <c r="C413" i="10"/>
  <c r="E413" i="10"/>
  <c r="S413" i="10" s="1"/>
  <c r="F413" i="10"/>
  <c r="G413" i="10"/>
  <c r="H413" i="10"/>
  <c r="I413" i="10"/>
  <c r="J413" i="10"/>
  <c r="K413" i="10"/>
  <c r="L413" i="10"/>
  <c r="M413" i="10"/>
  <c r="R413" i="10"/>
  <c r="T413" i="10"/>
  <c r="A414" i="10"/>
  <c r="C414" i="10"/>
  <c r="E414" i="10"/>
  <c r="S414" i="10" s="1"/>
  <c r="F414" i="10"/>
  <c r="G414" i="10"/>
  <c r="H414" i="10"/>
  <c r="I414" i="10"/>
  <c r="J414" i="10"/>
  <c r="K414" i="10"/>
  <c r="T414" i="10"/>
  <c r="A415" i="10"/>
  <c r="C415" i="10"/>
  <c r="E415" i="10"/>
  <c r="M415" i="10" s="1"/>
  <c r="F415" i="10"/>
  <c r="G415" i="10"/>
  <c r="H415" i="10"/>
  <c r="I415" i="10"/>
  <c r="J415" i="10"/>
  <c r="K415" i="10"/>
  <c r="T415" i="10"/>
  <c r="A416" i="10"/>
  <c r="C416" i="10"/>
  <c r="E416" i="10"/>
  <c r="L416" i="10" s="1"/>
  <c r="F416" i="10"/>
  <c r="G416" i="10"/>
  <c r="H416" i="10"/>
  <c r="I416" i="10"/>
  <c r="J416" i="10"/>
  <c r="K416" i="10"/>
  <c r="R416" i="10"/>
  <c r="S416" i="10"/>
  <c r="T416" i="10"/>
  <c r="A417" i="10"/>
  <c r="C417" i="10"/>
  <c r="E417" i="10"/>
  <c r="L417" i="10" s="1"/>
  <c r="F417" i="10"/>
  <c r="G417" i="10"/>
  <c r="H417" i="10"/>
  <c r="I417" i="10"/>
  <c r="J417" i="10"/>
  <c r="K417" i="10"/>
  <c r="T417" i="10"/>
  <c r="A418" i="10"/>
  <c r="C418" i="10"/>
  <c r="E418" i="10"/>
  <c r="L418" i="10" s="1"/>
  <c r="F418" i="10"/>
  <c r="G418" i="10"/>
  <c r="H418" i="10"/>
  <c r="I418" i="10"/>
  <c r="J418" i="10"/>
  <c r="K418" i="10"/>
  <c r="T418" i="10"/>
  <c r="A419" i="10"/>
  <c r="C419" i="10"/>
  <c r="E419" i="10"/>
  <c r="L419" i="10" s="1"/>
  <c r="F419" i="10"/>
  <c r="G419" i="10"/>
  <c r="H419" i="10"/>
  <c r="I419" i="10"/>
  <c r="J419" i="10"/>
  <c r="K419" i="10"/>
  <c r="T419" i="10"/>
  <c r="A420" i="10"/>
  <c r="C420" i="10"/>
  <c r="E420" i="10"/>
  <c r="S420" i="10" s="1"/>
  <c r="F420" i="10"/>
  <c r="G420" i="10"/>
  <c r="H420" i="10"/>
  <c r="I420" i="10"/>
  <c r="J420" i="10"/>
  <c r="K420" i="10"/>
  <c r="T420" i="10"/>
  <c r="A421" i="10"/>
  <c r="C421" i="10"/>
  <c r="E421" i="10"/>
  <c r="M421" i="10" s="1"/>
  <c r="F421" i="10"/>
  <c r="G421" i="10"/>
  <c r="H421" i="10"/>
  <c r="I421" i="10"/>
  <c r="J421" i="10"/>
  <c r="K421" i="10"/>
  <c r="T421" i="10"/>
  <c r="A422" i="10"/>
  <c r="C422" i="10"/>
  <c r="E422" i="10"/>
  <c r="S422" i="10" s="1"/>
  <c r="F422" i="10"/>
  <c r="G422" i="10"/>
  <c r="H422" i="10"/>
  <c r="I422" i="10"/>
  <c r="J422" i="10"/>
  <c r="K422" i="10"/>
  <c r="T422" i="10"/>
  <c r="A423" i="10"/>
  <c r="C423" i="10"/>
  <c r="E423" i="10"/>
  <c r="L423" i="10" s="1"/>
  <c r="F423" i="10"/>
  <c r="G423" i="10"/>
  <c r="H423" i="10"/>
  <c r="I423" i="10"/>
  <c r="J423" i="10"/>
  <c r="K423" i="10"/>
  <c r="M423" i="10"/>
  <c r="R423" i="10"/>
  <c r="S423" i="10"/>
  <c r="T423" i="10"/>
  <c r="A424" i="10"/>
  <c r="C424" i="10"/>
  <c r="E424" i="10"/>
  <c r="L424" i="10" s="1"/>
  <c r="F424" i="10"/>
  <c r="G424" i="10"/>
  <c r="H424" i="10"/>
  <c r="I424" i="10"/>
  <c r="J424" i="10"/>
  <c r="K424" i="10"/>
  <c r="T424" i="10"/>
  <c r="A425" i="10"/>
  <c r="C425" i="10"/>
  <c r="E425" i="10"/>
  <c r="L425" i="10" s="1"/>
  <c r="F425" i="10"/>
  <c r="G425" i="10"/>
  <c r="H425" i="10"/>
  <c r="I425" i="10"/>
  <c r="J425" i="10"/>
  <c r="K425" i="10"/>
  <c r="M425" i="10"/>
  <c r="R425" i="10"/>
  <c r="S425" i="10"/>
  <c r="T425" i="10"/>
  <c r="A426" i="10"/>
  <c r="C426" i="10"/>
  <c r="E426" i="10"/>
  <c r="S426" i="10" s="1"/>
  <c r="F426" i="10"/>
  <c r="G426" i="10"/>
  <c r="H426" i="10"/>
  <c r="I426" i="10"/>
  <c r="J426" i="10"/>
  <c r="K426" i="10"/>
  <c r="T426" i="10"/>
  <c r="A427" i="10"/>
  <c r="C427" i="10"/>
  <c r="E427" i="10"/>
  <c r="M427" i="10" s="1"/>
  <c r="F427" i="10"/>
  <c r="G427" i="10"/>
  <c r="H427" i="10"/>
  <c r="I427" i="10"/>
  <c r="J427" i="10"/>
  <c r="K427" i="10"/>
  <c r="T427" i="10"/>
  <c r="A428" i="10"/>
  <c r="C428" i="10"/>
  <c r="E428" i="10"/>
  <c r="L428" i="10" s="1"/>
  <c r="F428" i="10"/>
  <c r="G428" i="10"/>
  <c r="H428" i="10"/>
  <c r="I428" i="10"/>
  <c r="J428" i="10"/>
  <c r="K428" i="10"/>
  <c r="T428" i="10"/>
  <c r="A429" i="10"/>
  <c r="C429" i="10"/>
  <c r="E429" i="10"/>
  <c r="L429" i="10" s="1"/>
  <c r="F429" i="10"/>
  <c r="G429" i="10"/>
  <c r="H429" i="10"/>
  <c r="I429" i="10"/>
  <c r="J429" i="10"/>
  <c r="K429" i="10"/>
  <c r="T429" i="10"/>
  <c r="A430" i="10"/>
  <c r="C430" i="10"/>
  <c r="E430" i="10"/>
  <c r="S430" i="10" s="1"/>
  <c r="F430" i="10"/>
  <c r="G430" i="10"/>
  <c r="H430" i="10"/>
  <c r="I430" i="10"/>
  <c r="J430" i="10"/>
  <c r="K430" i="10"/>
  <c r="T430" i="10"/>
  <c r="A431" i="10"/>
  <c r="C431" i="10"/>
  <c r="E431" i="10"/>
  <c r="L431" i="10" s="1"/>
  <c r="F431" i="10"/>
  <c r="G431" i="10"/>
  <c r="H431" i="10"/>
  <c r="I431" i="10"/>
  <c r="J431" i="10"/>
  <c r="K431" i="10"/>
  <c r="M431" i="10"/>
  <c r="R431" i="10"/>
  <c r="S431" i="10"/>
  <c r="T431" i="10"/>
  <c r="A432" i="10"/>
  <c r="C432" i="10"/>
  <c r="E432" i="10"/>
  <c r="S432" i="10" s="1"/>
  <c r="F432" i="10"/>
  <c r="G432" i="10"/>
  <c r="H432" i="10"/>
  <c r="I432" i="10"/>
  <c r="J432" i="10"/>
  <c r="K432" i="10"/>
  <c r="T432" i="10"/>
  <c r="A433" i="10"/>
  <c r="C433" i="10"/>
  <c r="E433" i="10"/>
  <c r="M433" i="10" s="1"/>
  <c r="F433" i="10"/>
  <c r="G433" i="10"/>
  <c r="H433" i="10"/>
  <c r="I433" i="10"/>
  <c r="J433" i="10"/>
  <c r="K433" i="10"/>
  <c r="T433" i="10"/>
  <c r="A434" i="10"/>
  <c r="C434" i="10"/>
  <c r="E434" i="10"/>
  <c r="L434" i="10" s="1"/>
  <c r="F434" i="10"/>
  <c r="G434" i="10"/>
  <c r="H434" i="10"/>
  <c r="I434" i="10"/>
  <c r="J434" i="10"/>
  <c r="K434" i="10"/>
  <c r="T434" i="10"/>
  <c r="A435" i="10"/>
  <c r="C435" i="10"/>
  <c r="E435" i="10"/>
  <c r="L435" i="10" s="1"/>
  <c r="F435" i="10"/>
  <c r="G435" i="10"/>
  <c r="H435" i="10"/>
  <c r="I435" i="10"/>
  <c r="J435" i="10"/>
  <c r="K435" i="10"/>
  <c r="T435" i="10"/>
  <c r="A436" i="10"/>
  <c r="C436" i="10"/>
  <c r="E436" i="10"/>
  <c r="L436" i="10" s="1"/>
  <c r="F436" i="10"/>
  <c r="G436" i="10"/>
  <c r="H436" i="10"/>
  <c r="I436" i="10"/>
  <c r="J436" i="10"/>
  <c r="K436" i="10"/>
  <c r="M436" i="10"/>
  <c r="R436" i="10"/>
  <c r="S436" i="10"/>
  <c r="T436" i="10"/>
  <c r="A437" i="10"/>
  <c r="C437" i="10"/>
  <c r="E437" i="10"/>
  <c r="S437" i="10" s="1"/>
  <c r="F437" i="10"/>
  <c r="G437" i="10"/>
  <c r="H437" i="10"/>
  <c r="I437" i="10"/>
  <c r="J437" i="10"/>
  <c r="K437" i="10"/>
  <c r="L437" i="10"/>
  <c r="M437" i="10"/>
  <c r="R437" i="10"/>
  <c r="T437" i="10"/>
  <c r="A438" i="10"/>
  <c r="C438" i="10"/>
  <c r="E438" i="10"/>
  <c r="S438" i="10" s="1"/>
  <c r="F438" i="10"/>
  <c r="G438" i="10"/>
  <c r="H438" i="10"/>
  <c r="I438" i="10"/>
  <c r="J438" i="10"/>
  <c r="K438" i="10"/>
  <c r="T438" i="10"/>
  <c r="A439" i="10"/>
  <c r="C439" i="10"/>
  <c r="E439" i="10"/>
  <c r="M439" i="10" s="1"/>
  <c r="F439" i="10"/>
  <c r="G439" i="10"/>
  <c r="H439" i="10"/>
  <c r="I439" i="10"/>
  <c r="J439" i="10"/>
  <c r="K439" i="10"/>
  <c r="T439" i="10"/>
  <c r="A440" i="10"/>
  <c r="C440" i="10"/>
  <c r="E440" i="10"/>
  <c r="L440" i="10" s="1"/>
  <c r="F440" i="10"/>
  <c r="G440" i="10"/>
  <c r="H440" i="10"/>
  <c r="I440" i="10"/>
  <c r="J440" i="10"/>
  <c r="K440" i="10"/>
  <c r="T440" i="10"/>
  <c r="A441" i="10"/>
  <c r="C441" i="10"/>
  <c r="E441" i="10"/>
  <c r="L441" i="10" s="1"/>
  <c r="F441" i="10"/>
  <c r="G441" i="10"/>
  <c r="H441" i="10"/>
  <c r="I441" i="10"/>
  <c r="J441" i="10"/>
  <c r="K441" i="10"/>
  <c r="T441" i="10"/>
  <c r="A442" i="10"/>
  <c r="C442" i="10"/>
  <c r="E442" i="10"/>
  <c r="S442" i="10" s="1"/>
  <c r="F442" i="10"/>
  <c r="G442" i="10"/>
  <c r="H442" i="10"/>
  <c r="I442" i="10"/>
  <c r="J442" i="10"/>
  <c r="K442" i="10"/>
  <c r="T442" i="10"/>
  <c r="A443" i="10"/>
  <c r="C443" i="10"/>
  <c r="E443" i="10"/>
  <c r="S443" i="10" s="1"/>
  <c r="F443" i="10"/>
  <c r="G443" i="10"/>
  <c r="H443" i="10"/>
  <c r="I443" i="10"/>
  <c r="J443" i="10"/>
  <c r="K443" i="10"/>
  <c r="L443" i="10"/>
  <c r="M443" i="10"/>
  <c r="R443" i="10"/>
  <c r="T443" i="10"/>
  <c r="A444" i="10"/>
  <c r="C444" i="10"/>
  <c r="E444" i="10"/>
  <c r="S444" i="10" s="1"/>
  <c r="F444" i="10"/>
  <c r="G444" i="10"/>
  <c r="H444" i="10"/>
  <c r="I444" i="10"/>
  <c r="J444" i="10"/>
  <c r="K444" i="10"/>
  <c r="L444" i="10"/>
  <c r="M444" i="10"/>
  <c r="R444" i="10"/>
  <c r="T444" i="10"/>
  <c r="A445" i="10"/>
  <c r="C445" i="10"/>
  <c r="E445" i="10"/>
  <c r="M445" i="10" s="1"/>
  <c r="F445" i="10"/>
  <c r="G445" i="10"/>
  <c r="H445" i="10"/>
  <c r="I445" i="10"/>
  <c r="J445" i="10"/>
  <c r="K445" i="10"/>
  <c r="L445" i="10"/>
  <c r="R445" i="10"/>
  <c r="S445" i="10"/>
  <c r="T445" i="10"/>
  <c r="A446" i="10"/>
  <c r="C446" i="10"/>
  <c r="E446" i="10"/>
  <c r="L446" i="10" s="1"/>
  <c r="F446" i="10"/>
  <c r="G446" i="10"/>
  <c r="H446" i="10"/>
  <c r="I446" i="10"/>
  <c r="J446" i="10"/>
  <c r="K446" i="10"/>
  <c r="M446" i="10"/>
  <c r="T446" i="10"/>
  <c r="A447" i="10"/>
  <c r="C447" i="10"/>
  <c r="E447" i="10"/>
  <c r="L447" i="10" s="1"/>
  <c r="F447" i="10"/>
  <c r="G447" i="10"/>
  <c r="H447" i="10"/>
  <c r="I447" i="10"/>
  <c r="J447" i="10"/>
  <c r="K447" i="10"/>
  <c r="T447" i="10"/>
  <c r="A448" i="10"/>
  <c r="C448" i="10"/>
  <c r="E448" i="10"/>
  <c r="L448" i="10" s="1"/>
  <c r="F448" i="10"/>
  <c r="G448" i="10"/>
  <c r="H448" i="10"/>
  <c r="I448" i="10"/>
  <c r="J448" i="10"/>
  <c r="K448" i="10"/>
  <c r="T448" i="10"/>
  <c r="A449" i="10"/>
  <c r="C449" i="10"/>
  <c r="E449" i="10"/>
  <c r="L449" i="10" s="1"/>
  <c r="F449" i="10"/>
  <c r="G449" i="10"/>
  <c r="H449" i="10"/>
  <c r="I449" i="10"/>
  <c r="J449" i="10"/>
  <c r="K449" i="10"/>
  <c r="M449" i="10"/>
  <c r="R449" i="10"/>
  <c r="S449" i="10"/>
  <c r="T449" i="10"/>
  <c r="A450" i="10"/>
  <c r="C450" i="10"/>
  <c r="E450" i="10"/>
  <c r="S450" i="10" s="1"/>
  <c r="F450" i="10"/>
  <c r="G450" i="10"/>
  <c r="H450" i="10"/>
  <c r="I450" i="10"/>
  <c r="J450" i="10"/>
  <c r="K450" i="10"/>
  <c r="M450" i="10"/>
  <c r="R450" i="10"/>
  <c r="T450" i="10"/>
  <c r="A451" i="10"/>
  <c r="C451" i="10"/>
  <c r="E451" i="10"/>
  <c r="M451" i="10" s="1"/>
  <c r="F451" i="10"/>
  <c r="G451" i="10"/>
  <c r="H451" i="10"/>
  <c r="I451" i="10"/>
  <c r="J451" i="10"/>
  <c r="K451" i="10"/>
  <c r="L451" i="10"/>
  <c r="R451" i="10"/>
  <c r="T451" i="10"/>
  <c r="A452" i="10"/>
  <c r="C452" i="10"/>
  <c r="E452" i="10"/>
  <c r="F452" i="10"/>
  <c r="G452" i="10"/>
  <c r="H452" i="10"/>
  <c r="I452" i="10"/>
  <c r="J452" i="10"/>
  <c r="K452" i="10"/>
  <c r="L452" i="10"/>
  <c r="M452" i="10"/>
  <c r="R452" i="10"/>
  <c r="S452" i="10"/>
  <c r="T452" i="10"/>
  <c r="A453" i="10"/>
  <c r="C453" i="10"/>
  <c r="E453" i="10"/>
  <c r="R453" i="10" s="1"/>
  <c r="F453" i="10"/>
  <c r="G453" i="10"/>
  <c r="H453" i="10"/>
  <c r="I453" i="10"/>
  <c r="J453" i="10"/>
  <c r="K453" i="10"/>
  <c r="L453" i="10"/>
  <c r="M453" i="10"/>
  <c r="T453" i="10"/>
  <c r="A454" i="10"/>
  <c r="C454" i="10"/>
  <c r="E454" i="10"/>
  <c r="L454" i="10" s="1"/>
  <c r="F454" i="10"/>
  <c r="G454" i="10"/>
  <c r="H454" i="10"/>
  <c r="I454" i="10"/>
  <c r="J454" i="10"/>
  <c r="K454" i="10"/>
  <c r="T454" i="10"/>
  <c r="A455" i="10"/>
  <c r="C455" i="10"/>
  <c r="E455" i="10"/>
  <c r="F455" i="10"/>
  <c r="G455" i="10"/>
  <c r="H455" i="10"/>
  <c r="I455" i="10"/>
  <c r="J455" i="10"/>
  <c r="K455" i="10"/>
  <c r="L455" i="10"/>
  <c r="M455" i="10"/>
  <c r="R455" i="10"/>
  <c r="S455" i="10"/>
  <c r="T455" i="10"/>
  <c r="A456" i="10"/>
  <c r="C456" i="10"/>
  <c r="E456" i="10"/>
  <c r="S456" i="10" s="1"/>
  <c r="F456" i="10"/>
  <c r="G456" i="10"/>
  <c r="H456" i="10"/>
  <c r="I456" i="10"/>
  <c r="J456" i="10"/>
  <c r="K456" i="10"/>
  <c r="T456" i="10"/>
  <c r="A457" i="10"/>
  <c r="C457" i="10"/>
  <c r="E457" i="10"/>
  <c r="M457" i="10" s="1"/>
  <c r="F457" i="10"/>
  <c r="G457" i="10"/>
  <c r="H457" i="10"/>
  <c r="I457" i="10"/>
  <c r="J457" i="10"/>
  <c r="K457" i="10"/>
  <c r="L457" i="10"/>
  <c r="R457" i="10"/>
  <c r="S457" i="10"/>
  <c r="T457" i="10"/>
  <c r="A458" i="10"/>
  <c r="C458" i="10"/>
  <c r="E458" i="10"/>
  <c r="L458" i="10" s="1"/>
  <c r="F458" i="10"/>
  <c r="G458" i="10"/>
  <c r="H458" i="10"/>
  <c r="I458" i="10"/>
  <c r="J458" i="10"/>
  <c r="K458" i="10"/>
  <c r="S458" i="10"/>
  <c r="T458" i="10"/>
  <c r="A459" i="10"/>
  <c r="C459" i="10"/>
  <c r="E459" i="10"/>
  <c r="L459" i="10" s="1"/>
  <c r="F459" i="10"/>
  <c r="G459" i="10"/>
  <c r="H459" i="10"/>
  <c r="I459" i="10"/>
  <c r="J459" i="10"/>
  <c r="K459" i="10"/>
  <c r="M459" i="10"/>
  <c r="R459" i="10"/>
  <c r="S459" i="10"/>
  <c r="T459" i="10"/>
  <c r="A460" i="10"/>
  <c r="C460" i="10"/>
  <c r="E460" i="10"/>
  <c r="R460" i="10" s="1"/>
  <c r="F460" i="10"/>
  <c r="G460" i="10"/>
  <c r="H460" i="10"/>
  <c r="I460" i="10"/>
  <c r="J460" i="10"/>
  <c r="K460" i="10"/>
  <c r="L460" i="10"/>
  <c r="M460" i="10"/>
  <c r="T460" i="10"/>
  <c r="A461" i="10"/>
  <c r="C461" i="10"/>
  <c r="E461" i="10"/>
  <c r="F461" i="10"/>
  <c r="G461" i="10"/>
  <c r="H461" i="10"/>
  <c r="I461" i="10"/>
  <c r="J461" i="10"/>
  <c r="K461" i="10"/>
  <c r="L461" i="10"/>
  <c r="M461" i="10"/>
  <c r="R461" i="10"/>
  <c r="S461" i="10"/>
  <c r="T461" i="10"/>
  <c r="A462" i="10"/>
  <c r="C462" i="10"/>
  <c r="E462" i="10"/>
  <c r="S462" i="10" s="1"/>
  <c r="F462" i="10"/>
  <c r="G462" i="10"/>
  <c r="H462" i="10"/>
  <c r="I462" i="10"/>
  <c r="J462" i="10"/>
  <c r="K462" i="10"/>
  <c r="T462" i="10"/>
  <c r="A463" i="10"/>
  <c r="C463" i="10"/>
  <c r="E463" i="10"/>
  <c r="M463" i="10" s="1"/>
  <c r="F463" i="10"/>
  <c r="G463" i="10"/>
  <c r="H463" i="10"/>
  <c r="I463" i="10"/>
  <c r="J463" i="10"/>
  <c r="K463" i="10"/>
  <c r="T463" i="10"/>
  <c r="A464" i="10"/>
  <c r="C464" i="10"/>
  <c r="E464" i="10"/>
  <c r="S464" i="10" s="1"/>
  <c r="F464" i="10"/>
  <c r="G464" i="10"/>
  <c r="H464" i="10"/>
  <c r="I464" i="10"/>
  <c r="J464" i="10"/>
  <c r="K464" i="10"/>
  <c r="T464" i="10"/>
  <c r="A465" i="10"/>
  <c r="C465" i="10"/>
  <c r="E465" i="10"/>
  <c r="L465" i="10" s="1"/>
  <c r="F465" i="10"/>
  <c r="G465" i="10"/>
  <c r="H465" i="10"/>
  <c r="I465" i="10"/>
  <c r="J465" i="10"/>
  <c r="K465" i="10"/>
  <c r="R465" i="10"/>
  <c r="S465" i="10"/>
  <c r="T465" i="10"/>
  <c r="A466" i="10"/>
  <c r="C466" i="10"/>
  <c r="E466" i="10"/>
  <c r="R466" i="10" s="1"/>
  <c r="F466" i="10"/>
  <c r="G466" i="10"/>
  <c r="H466" i="10"/>
  <c r="I466" i="10"/>
  <c r="J466" i="10"/>
  <c r="K466" i="10"/>
  <c r="L466" i="10"/>
  <c r="M466" i="10"/>
  <c r="S466" i="10"/>
  <c r="T466" i="10"/>
  <c r="A467" i="10"/>
  <c r="C467" i="10"/>
  <c r="E467" i="10"/>
  <c r="R467" i="10" s="1"/>
  <c r="F467" i="10"/>
  <c r="G467" i="10"/>
  <c r="H467" i="10"/>
  <c r="I467" i="10"/>
  <c r="J467" i="10"/>
  <c r="K467" i="10"/>
  <c r="M467" i="10"/>
  <c r="T467" i="10"/>
  <c r="A468" i="10"/>
  <c r="C468" i="10"/>
  <c r="E468" i="10"/>
  <c r="L468" i="10" s="1"/>
  <c r="F468" i="10"/>
  <c r="G468" i="10"/>
  <c r="H468" i="10"/>
  <c r="I468" i="10"/>
  <c r="J468" i="10"/>
  <c r="K468" i="10"/>
  <c r="T468" i="10"/>
  <c r="A469" i="10"/>
  <c r="C469" i="10"/>
  <c r="E469" i="10"/>
  <c r="R469" i="10" s="1"/>
  <c r="F469" i="10"/>
  <c r="G469" i="10"/>
  <c r="H469" i="10"/>
  <c r="I469" i="10"/>
  <c r="J469" i="10"/>
  <c r="K469" i="10"/>
  <c r="T469" i="10"/>
  <c r="A470" i="10"/>
  <c r="C470" i="10"/>
  <c r="E470" i="10"/>
  <c r="M470" i="10" s="1"/>
  <c r="F470" i="10"/>
  <c r="G470" i="10"/>
  <c r="H470" i="10"/>
  <c r="I470" i="10"/>
  <c r="J470" i="10"/>
  <c r="K470" i="10"/>
  <c r="T470" i="10"/>
  <c r="A471" i="10"/>
  <c r="C471" i="10"/>
  <c r="E471" i="10"/>
  <c r="L471" i="10" s="1"/>
  <c r="F471" i="10"/>
  <c r="G471" i="10"/>
  <c r="H471" i="10"/>
  <c r="I471" i="10"/>
  <c r="J471" i="10"/>
  <c r="K471" i="10"/>
  <c r="T471" i="10"/>
  <c r="A472" i="10"/>
  <c r="C472" i="10"/>
  <c r="E472" i="10"/>
  <c r="L472" i="10" s="1"/>
  <c r="F472" i="10"/>
  <c r="G472" i="10"/>
  <c r="H472" i="10"/>
  <c r="I472" i="10"/>
  <c r="J472" i="10"/>
  <c r="K472" i="10"/>
  <c r="T472" i="10"/>
  <c r="A473" i="10"/>
  <c r="C473" i="10"/>
  <c r="E473" i="10"/>
  <c r="R473" i="10" s="1"/>
  <c r="F473" i="10"/>
  <c r="G473" i="10"/>
  <c r="H473" i="10"/>
  <c r="I473" i="10"/>
  <c r="J473" i="10"/>
  <c r="K473" i="10"/>
  <c r="T473" i="10"/>
  <c r="A474" i="10"/>
  <c r="C474" i="10"/>
  <c r="E474" i="10"/>
  <c r="L474" i="10" s="1"/>
  <c r="F474" i="10"/>
  <c r="G474" i="10"/>
  <c r="H474" i="10"/>
  <c r="I474" i="10"/>
  <c r="J474" i="10"/>
  <c r="K474" i="10"/>
  <c r="T474" i="10"/>
  <c r="A475" i="10"/>
  <c r="C475" i="10"/>
  <c r="E475" i="10"/>
  <c r="R475" i="10" s="1"/>
  <c r="F475" i="10"/>
  <c r="G475" i="10"/>
  <c r="H475" i="10"/>
  <c r="I475" i="10"/>
  <c r="J475" i="10"/>
  <c r="K475" i="10"/>
  <c r="T475" i="10"/>
  <c r="A476" i="10"/>
  <c r="C476" i="10"/>
  <c r="E476" i="10"/>
  <c r="M476" i="10" s="1"/>
  <c r="F476" i="10"/>
  <c r="G476" i="10"/>
  <c r="H476" i="10"/>
  <c r="I476" i="10"/>
  <c r="J476" i="10"/>
  <c r="K476" i="10"/>
  <c r="T476" i="10"/>
  <c r="A477" i="10"/>
  <c r="C477" i="10"/>
  <c r="E477" i="10"/>
  <c r="R477" i="10" s="1"/>
  <c r="F477" i="10"/>
  <c r="G477" i="10"/>
  <c r="H477" i="10"/>
  <c r="I477" i="10"/>
  <c r="J477" i="10"/>
  <c r="K477" i="10"/>
  <c r="S477" i="10"/>
  <c r="T477" i="10"/>
  <c r="A478" i="10"/>
  <c r="C478" i="10"/>
  <c r="E478" i="10"/>
  <c r="L478" i="10" s="1"/>
  <c r="F478" i="10"/>
  <c r="G478" i="10"/>
  <c r="H478" i="10"/>
  <c r="I478" i="10"/>
  <c r="J478" i="10"/>
  <c r="K478" i="10"/>
  <c r="M478" i="10"/>
  <c r="R478" i="10"/>
  <c r="S478" i="10"/>
  <c r="T478" i="10"/>
  <c r="A479" i="10"/>
  <c r="C479" i="10"/>
  <c r="E479" i="10"/>
  <c r="R479" i="10" s="1"/>
  <c r="F479" i="10"/>
  <c r="G479" i="10"/>
  <c r="H479" i="10"/>
  <c r="I479" i="10"/>
  <c r="J479" i="10"/>
  <c r="K479" i="10"/>
  <c r="L479" i="10"/>
  <c r="M479" i="10"/>
  <c r="T479" i="10"/>
  <c r="A480" i="10"/>
  <c r="C480" i="10"/>
  <c r="E480" i="10"/>
  <c r="L480" i="10" s="1"/>
  <c r="F480" i="10"/>
  <c r="G480" i="10"/>
  <c r="H480" i="10"/>
  <c r="I480" i="10"/>
  <c r="J480" i="10"/>
  <c r="K480" i="10"/>
  <c r="T480" i="10"/>
  <c r="A481" i="10"/>
  <c r="C481" i="10"/>
  <c r="E481" i="10"/>
  <c r="R481" i="10" s="1"/>
  <c r="F481" i="10"/>
  <c r="G481" i="10"/>
  <c r="H481" i="10"/>
  <c r="I481" i="10"/>
  <c r="J481" i="10"/>
  <c r="K481" i="10"/>
  <c r="T481" i="10"/>
  <c r="A482" i="10"/>
  <c r="C482" i="10"/>
  <c r="E482" i="10"/>
  <c r="S482" i="10" s="1"/>
  <c r="F482" i="10"/>
  <c r="G482" i="10"/>
  <c r="H482" i="10"/>
  <c r="I482" i="10"/>
  <c r="J482" i="10"/>
  <c r="K482" i="10"/>
  <c r="T482" i="10"/>
  <c r="A483" i="10"/>
  <c r="C483" i="10"/>
  <c r="E483" i="10"/>
  <c r="L483" i="10" s="1"/>
  <c r="F483" i="10"/>
  <c r="G483" i="10"/>
  <c r="H483" i="10"/>
  <c r="I483" i="10"/>
  <c r="J483" i="10"/>
  <c r="K483" i="10"/>
  <c r="T483" i="10"/>
  <c r="A484" i="10"/>
  <c r="C484" i="10"/>
  <c r="E484" i="10"/>
  <c r="L484" i="10" s="1"/>
  <c r="F484" i="10"/>
  <c r="G484" i="10"/>
  <c r="H484" i="10"/>
  <c r="I484" i="10"/>
  <c r="J484" i="10"/>
  <c r="K484" i="10"/>
  <c r="R484" i="10"/>
  <c r="S484" i="10"/>
  <c r="T484" i="10"/>
  <c r="A485" i="10"/>
  <c r="C485" i="10"/>
  <c r="E485" i="10"/>
  <c r="R485" i="10" s="1"/>
  <c r="F485" i="10"/>
  <c r="G485" i="10"/>
  <c r="H485" i="10"/>
  <c r="I485" i="10"/>
  <c r="J485" i="10"/>
  <c r="K485" i="10"/>
  <c r="L485" i="10"/>
  <c r="M485" i="10"/>
  <c r="T485" i="10"/>
  <c r="A486" i="10"/>
  <c r="C486" i="10"/>
  <c r="E486" i="10"/>
  <c r="L486" i="10" s="1"/>
  <c r="F486" i="10"/>
  <c r="G486" i="10"/>
  <c r="H486" i="10"/>
  <c r="I486" i="10"/>
  <c r="J486" i="10"/>
  <c r="K486" i="10"/>
  <c r="T486" i="10"/>
  <c r="A487" i="10"/>
  <c r="C487" i="10"/>
  <c r="E487" i="10"/>
  <c r="S487" i="10" s="1"/>
  <c r="F487" i="10"/>
  <c r="G487" i="10"/>
  <c r="H487" i="10"/>
  <c r="I487" i="10"/>
  <c r="J487" i="10"/>
  <c r="K487" i="10"/>
  <c r="T487" i="10"/>
  <c r="A488" i="10"/>
  <c r="C488" i="10"/>
  <c r="E488" i="10"/>
  <c r="M488" i="10" s="1"/>
  <c r="F488" i="10"/>
  <c r="G488" i="10"/>
  <c r="H488" i="10"/>
  <c r="I488" i="10"/>
  <c r="J488" i="10"/>
  <c r="K488" i="10"/>
  <c r="T488" i="10"/>
  <c r="A489" i="10"/>
  <c r="C489" i="10"/>
  <c r="E489" i="10"/>
  <c r="L489" i="10" s="1"/>
  <c r="F489" i="10"/>
  <c r="G489" i="10"/>
  <c r="H489" i="10"/>
  <c r="I489" i="10"/>
  <c r="J489" i="10"/>
  <c r="K489" i="10"/>
  <c r="S489" i="10"/>
  <c r="T489" i="10"/>
  <c r="A490" i="10"/>
  <c r="C490" i="10"/>
  <c r="E490" i="10"/>
  <c r="F490" i="10"/>
  <c r="G490" i="10"/>
  <c r="H490" i="10"/>
  <c r="I490" i="10"/>
  <c r="J490" i="10"/>
  <c r="K490" i="10"/>
  <c r="L490" i="10"/>
  <c r="M490" i="10"/>
  <c r="R490" i="10"/>
  <c r="S490" i="10"/>
  <c r="T490" i="10"/>
  <c r="A491" i="10"/>
  <c r="C491" i="10"/>
  <c r="E491" i="10"/>
  <c r="R491" i="10" s="1"/>
  <c r="F491" i="10"/>
  <c r="G491" i="10"/>
  <c r="H491" i="10"/>
  <c r="I491" i="10"/>
  <c r="J491" i="10"/>
  <c r="K491" i="10"/>
  <c r="T491" i="10"/>
  <c r="A492" i="10"/>
  <c r="C492" i="10"/>
  <c r="E492" i="10"/>
  <c r="L492" i="10" s="1"/>
  <c r="F492" i="10"/>
  <c r="G492" i="10"/>
  <c r="H492" i="10"/>
  <c r="I492" i="10"/>
  <c r="J492" i="10"/>
  <c r="K492" i="10"/>
  <c r="T492" i="10"/>
  <c r="A493" i="10"/>
  <c r="C493" i="10"/>
  <c r="E493" i="10"/>
  <c r="M493" i="10" s="1"/>
  <c r="F493" i="10"/>
  <c r="G493" i="10"/>
  <c r="H493" i="10"/>
  <c r="I493" i="10"/>
  <c r="J493" i="10"/>
  <c r="K493" i="10"/>
  <c r="T493" i="10"/>
  <c r="A494" i="10"/>
  <c r="C494" i="10"/>
  <c r="E494" i="10"/>
  <c r="L494" i="10" s="1"/>
  <c r="F494" i="10"/>
  <c r="G494" i="10"/>
  <c r="H494" i="10"/>
  <c r="I494" i="10"/>
  <c r="J494" i="10"/>
  <c r="K494" i="10"/>
  <c r="T494" i="10"/>
  <c r="A495" i="10"/>
  <c r="C495" i="10"/>
  <c r="E495" i="10"/>
  <c r="L495" i="10" s="1"/>
  <c r="F495" i="10"/>
  <c r="G495" i="10"/>
  <c r="H495" i="10"/>
  <c r="I495" i="10"/>
  <c r="J495" i="10"/>
  <c r="K495" i="10"/>
  <c r="S495" i="10"/>
  <c r="T495" i="10"/>
  <c r="A496" i="10"/>
  <c r="C496" i="10"/>
  <c r="E496" i="10"/>
  <c r="S496" i="10" s="1"/>
  <c r="F496" i="10"/>
  <c r="G496" i="10"/>
  <c r="H496" i="10"/>
  <c r="I496" i="10"/>
  <c r="J496" i="10"/>
  <c r="K496" i="10"/>
  <c r="L496" i="10"/>
  <c r="M496" i="10"/>
  <c r="R496" i="10"/>
  <c r="T496" i="10"/>
  <c r="A497" i="10"/>
  <c r="C497" i="10"/>
  <c r="E497" i="10"/>
  <c r="R497" i="10" s="1"/>
  <c r="F497" i="10"/>
  <c r="G497" i="10"/>
  <c r="H497" i="10"/>
  <c r="I497" i="10"/>
  <c r="J497" i="10"/>
  <c r="K497" i="10"/>
  <c r="L497" i="10"/>
  <c r="M497" i="10"/>
  <c r="T497" i="10"/>
  <c r="A498" i="10"/>
  <c r="C498" i="10"/>
  <c r="E498" i="10"/>
  <c r="L498" i="10" s="1"/>
  <c r="F498" i="10"/>
  <c r="G498" i="10"/>
  <c r="H498" i="10"/>
  <c r="I498" i="10"/>
  <c r="J498" i="10"/>
  <c r="K498" i="10"/>
  <c r="T498" i="10"/>
  <c r="A499" i="10"/>
  <c r="C499" i="10"/>
  <c r="E499" i="10"/>
  <c r="L499" i="10" s="1"/>
  <c r="F499" i="10"/>
  <c r="G499" i="10"/>
  <c r="H499" i="10"/>
  <c r="I499" i="10"/>
  <c r="J499" i="10"/>
  <c r="K499" i="10"/>
  <c r="T499" i="10"/>
  <c r="A500" i="10"/>
  <c r="C500" i="10"/>
  <c r="E500" i="10"/>
  <c r="M500" i="10" s="1"/>
  <c r="F500" i="10"/>
  <c r="G500" i="10"/>
  <c r="H500" i="10"/>
  <c r="I500" i="10"/>
  <c r="J500" i="10"/>
  <c r="K500" i="10"/>
  <c r="T500" i="10"/>
  <c r="A501" i="10"/>
  <c r="C501" i="10"/>
  <c r="E501" i="10"/>
  <c r="R501" i="10" s="1"/>
  <c r="F501" i="10"/>
  <c r="G501" i="10"/>
  <c r="H501" i="10"/>
  <c r="I501" i="10"/>
  <c r="J501" i="10"/>
  <c r="K501" i="10"/>
  <c r="T501" i="10"/>
  <c r="A502" i="10"/>
  <c r="C502" i="10"/>
  <c r="E502" i="10"/>
  <c r="L502" i="10" s="1"/>
  <c r="F502" i="10"/>
  <c r="G502" i="10"/>
  <c r="H502" i="10"/>
  <c r="I502" i="10"/>
  <c r="J502" i="10"/>
  <c r="K502" i="10"/>
  <c r="T502" i="10"/>
  <c r="A503" i="10"/>
  <c r="C503" i="10"/>
  <c r="E503" i="10"/>
  <c r="R503" i="10" s="1"/>
  <c r="F503" i="10"/>
  <c r="G503" i="10"/>
  <c r="H503" i="10"/>
  <c r="I503" i="10"/>
  <c r="J503" i="10"/>
  <c r="K503" i="10"/>
  <c r="T503" i="10"/>
  <c r="A504" i="10"/>
  <c r="C504" i="10"/>
  <c r="E504" i="10"/>
  <c r="L504" i="10" s="1"/>
  <c r="F504" i="10"/>
  <c r="G504" i="10"/>
  <c r="H504" i="10"/>
  <c r="I504" i="10"/>
  <c r="J504" i="10"/>
  <c r="K504" i="10"/>
  <c r="T504" i="10"/>
  <c r="T5" i="10"/>
  <c r="R5" i="10"/>
  <c r="M5" i="10"/>
  <c r="L5" i="10"/>
  <c r="K5" i="10"/>
  <c r="J5" i="10"/>
  <c r="I5" i="10"/>
  <c r="H5" i="10"/>
  <c r="G5" i="10"/>
  <c r="F5" i="10"/>
  <c r="E5" i="10"/>
  <c r="S5" i="10" s="1"/>
  <c r="C5" i="10"/>
  <c r="A5" i="10"/>
  <c r="R223" i="10" l="1"/>
  <c r="M181" i="10"/>
  <c r="R54" i="10"/>
  <c r="S320" i="10"/>
  <c r="M318" i="10"/>
  <c r="R317" i="10"/>
  <c r="L314" i="10"/>
  <c r="S297" i="10"/>
  <c r="S296" i="10"/>
  <c r="M294" i="10"/>
  <c r="R293" i="10"/>
  <c r="L290" i="10"/>
  <c r="R253" i="10"/>
  <c r="M237" i="10"/>
  <c r="M234" i="10"/>
  <c r="L233" i="10"/>
  <c r="L232" i="10"/>
  <c r="R231" i="10"/>
  <c r="R225" i="10"/>
  <c r="R224" i="10"/>
  <c r="M223" i="10"/>
  <c r="S222" i="10"/>
  <c r="L217" i="10"/>
  <c r="R216" i="10"/>
  <c r="S212" i="10"/>
  <c r="S210" i="10"/>
  <c r="L181" i="10"/>
  <c r="R180" i="10"/>
  <c r="R177" i="10"/>
  <c r="R175" i="10"/>
  <c r="M150" i="10"/>
  <c r="L148" i="10"/>
  <c r="R147" i="10"/>
  <c r="R145" i="10"/>
  <c r="M120" i="10"/>
  <c r="M114" i="10"/>
  <c r="M108" i="10"/>
  <c r="M84" i="10"/>
  <c r="L79" i="10"/>
  <c r="R78" i="10"/>
  <c r="L73" i="10"/>
  <c r="R72" i="10"/>
  <c r="L67" i="10"/>
  <c r="R66" i="10"/>
  <c r="L61" i="10"/>
  <c r="R60" i="10"/>
  <c r="M54" i="10"/>
  <c r="M484" i="10"/>
  <c r="S483" i="10"/>
  <c r="M473" i="10"/>
  <c r="S472" i="10"/>
  <c r="R430" i="10"/>
  <c r="R422" i="10"/>
  <c r="S419" i="10"/>
  <c r="M416" i="10"/>
  <c r="S415" i="10"/>
  <c r="L410" i="10"/>
  <c r="L409" i="10"/>
  <c r="M408" i="10"/>
  <c r="S407" i="10"/>
  <c r="M399" i="10"/>
  <c r="S398" i="10"/>
  <c r="M395" i="10"/>
  <c r="L391" i="10"/>
  <c r="M390" i="10"/>
  <c r="S389" i="10"/>
  <c r="R380" i="10"/>
  <c r="R371" i="10"/>
  <c r="R347" i="10"/>
  <c r="R345" i="10"/>
  <c r="S323" i="10"/>
  <c r="M320" i="10"/>
  <c r="S302" i="10"/>
  <c r="M300" i="10"/>
  <c r="R299" i="10"/>
  <c r="L296" i="10"/>
  <c r="S267" i="10"/>
  <c r="S266" i="10"/>
  <c r="R261" i="10"/>
  <c r="R260" i="10"/>
  <c r="M259" i="10"/>
  <c r="L253" i="10"/>
  <c r="R252" i="10"/>
  <c r="L230" i="10"/>
  <c r="M229" i="10"/>
  <c r="R228" i="10"/>
  <c r="M222" i="10"/>
  <c r="S221" i="10"/>
  <c r="L219" i="10"/>
  <c r="M215" i="10"/>
  <c r="M214" i="10"/>
  <c r="L212" i="10"/>
  <c r="M210" i="10"/>
  <c r="S209" i="10"/>
  <c r="S208" i="10"/>
  <c r="R207" i="10"/>
  <c r="S206" i="10"/>
  <c r="L205" i="10"/>
  <c r="R204" i="10"/>
  <c r="S194" i="10"/>
  <c r="L175" i="10"/>
  <c r="R174" i="10"/>
  <c r="L145" i="10"/>
  <c r="R144" i="10"/>
  <c r="S141" i="10"/>
  <c r="L33" i="10"/>
  <c r="L32" i="10"/>
  <c r="M31" i="10"/>
  <c r="S30" i="10"/>
  <c r="M24" i="10"/>
  <c r="S252" i="10"/>
  <c r="M503" i="10"/>
  <c r="S502" i="10"/>
  <c r="L473" i="10"/>
  <c r="R472" i="10"/>
  <c r="M430" i="10"/>
  <c r="S429" i="10"/>
  <c r="M422" i="10"/>
  <c r="S421" i="10"/>
  <c r="R419" i="10"/>
  <c r="R415" i="10"/>
  <c r="R414" i="10"/>
  <c r="L408" i="10"/>
  <c r="R407" i="10"/>
  <c r="R398" i="10"/>
  <c r="L390" i="10"/>
  <c r="R389" i="10"/>
  <c r="S383" i="10"/>
  <c r="M380" i="10"/>
  <c r="S379" i="10"/>
  <c r="S374" i="10"/>
  <c r="M371" i="10"/>
  <c r="S370" i="10"/>
  <c r="R369" i="10"/>
  <c r="S362" i="10"/>
  <c r="R360" i="10"/>
  <c r="S350" i="10"/>
  <c r="M347" i="10"/>
  <c r="M345" i="10"/>
  <c r="S344" i="10"/>
  <c r="M327" i="10"/>
  <c r="R326" i="10"/>
  <c r="M324" i="10"/>
  <c r="R323" i="10"/>
  <c r="M303" i="10"/>
  <c r="M302" i="10"/>
  <c r="M299" i="10"/>
  <c r="M266" i="10"/>
  <c r="R265" i="10"/>
  <c r="S264" i="10"/>
  <c r="M252" i="10"/>
  <c r="S246" i="10"/>
  <c r="M228" i="10"/>
  <c r="M221" i="10"/>
  <c r="L214" i="10"/>
  <c r="R209" i="10"/>
  <c r="L208" i="10"/>
  <c r="M207" i="10"/>
  <c r="M204" i="10"/>
  <c r="R201" i="10"/>
  <c r="S200" i="10"/>
  <c r="R199" i="10"/>
  <c r="S198" i="10"/>
  <c r="R194" i="10"/>
  <c r="M174" i="10"/>
  <c r="S173" i="10"/>
  <c r="M172" i="10"/>
  <c r="M144" i="10"/>
  <c r="R141" i="10"/>
  <c r="R140" i="10"/>
  <c r="R139" i="10"/>
  <c r="R38" i="10"/>
  <c r="R37" i="10"/>
  <c r="L31" i="10"/>
  <c r="R30" i="10"/>
  <c r="M472" i="10"/>
  <c r="S471" i="10"/>
  <c r="L430" i="10"/>
  <c r="R429" i="10"/>
  <c r="L422" i="10"/>
  <c r="R421" i="10"/>
  <c r="M419" i="10"/>
  <c r="L415" i="10"/>
  <c r="M414" i="10"/>
  <c r="M407" i="10"/>
  <c r="S406" i="10"/>
  <c r="M398" i="10"/>
  <c r="M389" i="10"/>
  <c r="S388" i="10"/>
  <c r="R387" i="10"/>
  <c r="R383" i="10"/>
  <c r="L380" i="10"/>
  <c r="R379" i="10"/>
  <c r="R378" i="10"/>
  <c r="R374" i="10"/>
  <c r="L371" i="10"/>
  <c r="M369" i="10"/>
  <c r="R362" i="10"/>
  <c r="M360" i="10"/>
  <c r="R350" i="10"/>
  <c r="L347" i="10"/>
  <c r="L345" i="10"/>
  <c r="R344" i="10"/>
  <c r="M339" i="10"/>
  <c r="S338" i="10"/>
  <c r="S332" i="10"/>
  <c r="S329" i="10"/>
  <c r="M323" i="10"/>
  <c r="S305" i="10"/>
  <c r="L302" i="10"/>
  <c r="S273" i="10"/>
  <c r="S272" i="10"/>
  <c r="M270" i="10"/>
  <c r="L266" i="10"/>
  <c r="M265" i="10"/>
  <c r="R264" i="10"/>
  <c r="S257" i="10"/>
  <c r="S250" i="10"/>
  <c r="L247" i="10"/>
  <c r="R246" i="10"/>
  <c r="L221" i="10"/>
  <c r="L202" i="10"/>
  <c r="L201" i="10"/>
  <c r="R200" i="10"/>
  <c r="L199" i="10"/>
  <c r="R198" i="10"/>
  <c r="L194" i="10"/>
  <c r="L141" i="10"/>
  <c r="L140" i="10"/>
  <c r="L39" i="10"/>
  <c r="L38" i="10"/>
  <c r="M37" i="10"/>
  <c r="M30" i="10"/>
  <c r="L503" i="10"/>
  <c r="R502" i="10"/>
  <c r="M502" i="10"/>
  <c r="M438" i="10"/>
  <c r="M429" i="10"/>
  <c r="L421" i="10"/>
  <c r="L414" i="10"/>
  <c r="M406" i="10"/>
  <c r="M387" i="10"/>
  <c r="M383" i="10"/>
  <c r="L379" i="10"/>
  <c r="M378" i="10"/>
  <c r="M374" i="10"/>
  <c r="L369" i="10"/>
  <c r="M362" i="10"/>
  <c r="L360" i="10"/>
  <c r="M350" i="10"/>
  <c r="M344" i="10"/>
  <c r="S343" i="10"/>
  <c r="M342" i="10"/>
  <c r="R329" i="10"/>
  <c r="R305" i="10"/>
  <c r="M272" i="10"/>
  <c r="M264" i="10"/>
  <c r="M257" i="10"/>
  <c r="M250" i="10"/>
  <c r="M246" i="10"/>
  <c r="S245" i="10"/>
  <c r="M198" i="10"/>
  <c r="M136" i="10"/>
  <c r="R44" i="10"/>
  <c r="L37" i="10"/>
  <c r="S501" i="10"/>
  <c r="M491" i="10"/>
  <c r="L491" i="10"/>
  <c r="L439" i="10"/>
  <c r="L406" i="10"/>
  <c r="L387" i="10"/>
  <c r="L378" i="10"/>
  <c r="R341" i="10"/>
  <c r="S335" i="10"/>
  <c r="M329" i="10"/>
  <c r="S308" i="10"/>
  <c r="M305" i="10"/>
  <c r="S279" i="10"/>
  <c r="S278" i="10"/>
  <c r="M276" i="10"/>
  <c r="R275" i="10"/>
  <c r="L272" i="10"/>
  <c r="L257" i="10"/>
  <c r="L250" i="10"/>
  <c r="L136" i="10"/>
  <c r="R135" i="10"/>
  <c r="R134" i="10"/>
  <c r="R133" i="10"/>
  <c r="L45" i="10"/>
  <c r="L44" i="10"/>
  <c r="M43" i="10"/>
  <c r="S356" i="10"/>
  <c r="M279" i="10"/>
  <c r="M278" i="10"/>
  <c r="S132" i="10"/>
  <c r="S129" i="10"/>
  <c r="R50" i="10"/>
  <c r="R356" i="10"/>
  <c r="R162" i="10"/>
  <c r="R132" i="10"/>
  <c r="R127" i="10"/>
  <c r="R103" i="10"/>
  <c r="R14" i="10"/>
  <c r="R8" i="10"/>
  <c r="S314" i="10"/>
  <c r="M284" i="10"/>
  <c r="M186" i="10"/>
  <c r="S185" i="10"/>
  <c r="M184" i="10"/>
  <c r="S183" i="10"/>
  <c r="M154" i="10"/>
  <c r="M132" i="10"/>
  <c r="M127" i="10"/>
  <c r="R123" i="10"/>
  <c r="M97" i="10"/>
  <c r="M91" i="10"/>
  <c r="R87" i="10"/>
  <c r="R86" i="10"/>
  <c r="R85" i="10"/>
  <c r="S81" i="10"/>
  <c r="S75" i="10"/>
  <c r="L467" i="10"/>
  <c r="R458" i="10"/>
  <c r="S451" i="10"/>
  <c r="S290" i="10"/>
  <c r="L284" i="10"/>
  <c r="S237" i="10"/>
  <c r="R183" i="10"/>
  <c r="R181" i="10"/>
  <c r="L154" i="10"/>
  <c r="L127" i="10"/>
  <c r="L124" i="10"/>
  <c r="L123" i="10"/>
  <c r="L122" i="10"/>
  <c r="L118" i="10"/>
  <c r="L117" i="10"/>
  <c r="L116" i="10"/>
  <c r="L112" i="10"/>
  <c r="L111" i="10"/>
  <c r="L110" i="10"/>
  <c r="L103" i="10"/>
  <c r="L97" i="10"/>
  <c r="L91" i="10"/>
  <c r="L87" i="10"/>
  <c r="M85" i="10"/>
  <c r="L310" i="10"/>
  <c r="M310" i="10"/>
  <c r="R310" i="10"/>
  <c r="S310" i="10"/>
  <c r="M477" i="10"/>
  <c r="M458" i="10"/>
  <c r="S435" i="10"/>
  <c r="S428" i="10"/>
  <c r="S405" i="10"/>
  <c r="M364" i="10"/>
  <c r="R364" i="10"/>
  <c r="M352" i="10"/>
  <c r="R352" i="10"/>
  <c r="M376" i="10"/>
  <c r="R376" i="10"/>
  <c r="M501" i="10"/>
  <c r="S476" i="10"/>
  <c r="R456" i="10"/>
  <c r="L450" i="10"/>
  <c r="R442" i="10"/>
  <c r="R435" i="10"/>
  <c r="R428" i="10"/>
  <c r="R420" i="10"/>
  <c r="R405" i="10"/>
  <c r="S397" i="10"/>
  <c r="M394" i="10"/>
  <c r="R394" i="10"/>
  <c r="R366" i="10"/>
  <c r="L316" i="10"/>
  <c r="M316" i="10"/>
  <c r="R316" i="10"/>
  <c r="S316" i="10"/>
  <c r="S313" i="10"/>
  <c r="L313" i="10"/>
  <c r="M313" i="10"/>
  <c r="S241" i="10"/>
  <c r="L241" i="10"/>
  <c r="M241" i="10"/>
  <c r="R241" i="10"/>
  <c r="M471" i="10"/>
  <c r="R494" i="10"/>
  <c r="M494" i="10"/>
  <c r="M464" i="10"/>
  <c r="M456" i="10"/>
  <c r="S448" i="10"/>
  <c r="M442" i="10"/>
  <c r="S441" i="10"/>
  <c r="M435" i="10"/>
  <c r="S434" i="10"/>
  <c r="M428" i="10"/>
  <c r="S427" i="10"/>
  <c r="M420" i="10"/>
  <c r="S412" i="10"/>
  <c r="M405" i="10"/>
  <c r="S404" i="10"/>
  <c r="R397" i="10"/>
  <c r="R396" i="10"/>
  <c r="S376" i="10"/>
  <c r="R375" i="10"/>
  <c r="M366" i="10"/>
  <c r="S355" i="10"/>
  <c r="M354" i="10"/>
  <c r="L286" i="10"/>
  <c r="M286" i="10"/>
  <c r="R286" i="10"/>
  <c r="S286" i="10"/>
  <c r="S283" i="10"/>
  <c r="L283" i="10"/>
  <c r="M283" i="10"/>
  <c r="S307" i="10"/>
  <c r="L307" i="10"/>
  <c r="M307" i="10"/>
  <c r="L249" i="10"/>
  <c r="M249" i="10"/>
  <c r="R249" i="10"/>
  <c r="S249" i="10"/>
  <c r="S500" i="10"/>
  <c r="M495" i="10"/>
  <c r="M483" i="10"/>
  <c r="R464" i="10"/>
  <c r="S481" i="10"/>
  <c r="S475" i="10"/>
  <c r="S469" i="10"/>
  <c r="S463" i="10"/>
  <c r="L500" i="10"/>
  <c r="L488" i="10"/>
  <c r="L482" i="10"/>
  <c r="L464" i="10"/>
  <c r="R463" i="10"/>
  <c r="R462" i="10"/>
  <c r="L456" i="10"/>
  <c r="R448" i="10"/>
  <c r="L442" i="10"/>
  <c r="R441" i="10"/>
  <c r="R434" i="10"/>
  <c r="R427" i="10"/>
  <c r="R426" i="10"/>
  <c r="L420" i="10"/>
  <c r="M412" i="10"/>
  <c r="S411" i="10"/>
  <c r="R404" i="10"/>
  <c r="L397" i="10"/>
  <c r="M396" i="10"/>
  <c r="S385" i="10"/>
  <c r="M382" i="10"/>
  <c r="R382" i="10"/>
  <c r="L376" i="10"/>
  <c r="M375" i="10"/>
  <c r="L366" i="10"/>
  <c r="L349" i="10"/>
  <c r="M349" i="10"/>
  <c r="R348" i="10"/>
  <c r="S348" i="10"/>
  <c r="L322" i="10"/>
  <c r="M322" i="10"/>
  <c r="R322" i="10"/>
  <c r="S322" i="10"/>
  <c r="S319" i="10"/>
  <c r="L319" i="10"/>
  <c r="M319" i="10"/>
  <c r="R307" i="10"/>
  <c r="L292" i="10"/>
  <c r="M292" i="10"/>
  <c r="R292" i="10"/>
  <c r="S292" i="10"/>
  <c r="S289" i="10"/>
  <c r="L289" i="10"/>
  <c r="M289" i="10"/>
  <c r="L263" i="10"/>
  <c r="M263" i="10"/>
  <c r="R263" i="10"/>
  <c r="S263" i="10"/>
  <c r="S494" i="10"/>
  <c r="M489" i="10"/>
  <c r="S470" i="10"/>
  <c r="R500" i="10"/>
  <c r="R488" i="10"/>
  <c r="R476" i="10"/>
  <c r="R487" i="10"/>
  <c r="L470" i="10"/>
  <c r="S492" i="10"/>
  <c r="S480" i="10"/>
  <c r="M469" i="10"/>
  <c r="L463" i="10"/>
  <c r="S454" i="10"/>
  <c r="M448" i="10"/>
  <c r="S447" i="10"/>
  <c r="M441" i="10"/>
  <c r="S440" i="10"/>
  <c r="M434" i="10"/>
  <c r="S433" i="10"/>
  <c r="L427" i="10"/>
  <c r="M426" i="10"/>
  <c r="S418" i="10"/>
  <c r="L412" i="10"/>
  <c r="R411" i="10"/>
  <c r="M404" i="10"/>
  <c r="S403" i="10"/>
  <c r="L396" i="10"/>
  <c r="R385" i="10"/>
  <c r="R384" i="10"/>
  <c r="L375" i="10"/>
  <c r="S364" i="10"/>
  <c r="R363" i="10"/>
  <c r="S352" i="10"/>
  <c r="R351" i="10"/>
  <c r="M346" i="10"/>
  <c r="R346" i="10"/>
  <c r="S346" i="10"/>
  <c r="R354" i="10"/>
  <c r="S354" i="10"/>
  <c r="R489" i="10"/>
  <c r="R483" i="10"/>
  <c r="S488" i="10"/>
  <c r="L477" i="10"/>
  <c r="R470" i="10"/>
  <c r="M482" i="10"/>
  <c r="R499" i="10"/>
  <c r="R493" i="10"/>
  <c r="M499" i="10"/>
  <c r="M475" i="10"/>
  <c r="S468" i="10"/>
  <c r="L493" i="10"/>
  <c r="R492" i="10"/>
  <c r="L487" i="10"/>
  <c r="R486" i="10"/>
  <c r="L481" i="10"/>
  <c r="L475" i="10"/>
  <c r="R474" i="10"/>
  <c r="L469" i="10"/>
  <c r="R468" i="10"/>
  <c r="L462" i="10"/>
  <c r="R454" i="10"/>
  <c r="R447" i="10"/>
  <c r="R440" i="10"/>
  <c r="R433" i="10"/>
  <c r="R432" i="10"/>
  <c r="L426" i="10"/>
  <c r="R418" i="10"/>
  <c r="M411" i="10"/>
  <c r="S410" i="10"/>
  <c r="R403" i="10"/>
  <c r="R402" i="10"/>
  <c r="S394" i="10"/>
  <c r="R393" i="10"/>
  <c r="L385" i="10"/>
  <c r="M384" i="10"/>
  <c r="S373" i="10"/>
  <c r="M370" i="10"/>
  <c r="R370" i="10"/>
  <c r="L364" i="10"/>
  <c r="M363" i="10"/>
  <c r="L352" i="10"/>
  <c r="M351" i="10"/>
  <c r="L328" i="10"/>
  <c r="M328" i="10"/>
  <c r="R328" i="10"/>
  <c r="S328" i="10"/>
  <c r="S325" i="10"/>
  <c r="L325" i="10"/>
  <c r="M325" i="10"/>
  <c r="L298" i="10"/>
  <c r="M298" i="10"/>
  <c r="R298" i="10"/>
  <c r="S298" i="10"/>
  <c r="S295" i="10"/>
  <c r="L295" i="10"/>
  <c r="M295" i="10"/>
  <c r="L256" i="10"/>
  <c r="M256" i="10"/>
  <c r="R256" i="10"/>
  <c r="S256" i="10"/>
  <c r="R495" i="10"/>
  <c r="R471" i="10"/>
  <c r="M465" i="10"/>
  <c r="L501" i="10"/>
  <c r="R482" i="10"/>
  <c r="S499" i="10"/>
  <c r="S493" i="10"/>
  <c r="L476" i="10"/>
  <c r="S498" i="10"/>
  <c r="M487" i="10"/>
  <c r="S486" i="10"/>
  <c r="M481" i="10"/>
  <c r="S474" i="10"/>
  <c r="M462" i="10"/>
  <c r="R504" i="10"/>
  <c r="R498" i="10"/>
  <c r="R480" i="10"/>
  <c r="M504" i="10"/>
  <c r="S503" i="10"/>
  <c r="M498" i="10"/>
  <c r="S497" i="10"/>
  <c r="M492" i="10"/>
  <c r="S491" i="10"/>
  <c r="M486" i="10"/>
  <c r="S485" i="10"/>
  <c r="M480" i="10"/>
  <c r="S479" i="10"/>
  <c r="M474" i="10"/>
  <c r="S473" i="10"/>
  <c r="M468" i="10"/>
  <c r="S467" i="10"/>
  <c r="S460" i="10"/>
  <c r="M454" i="10"/>
  <c r="S453" i="10"/>
  <c r="M447" i="10"/>
  <c r="S446" i="10"/>
  <c r="M440" i="10"/>
  <c r="S439" i="10"/>
  <c r="L433" i="10"/>
  <c r="M432" i="10"/>
  <c r="S424" i="10"/>
  <c r="M418" i="10"/>
  <c r="S417" i="10"/>
  <c r="R410" i="10"/>
  <c r="L403" i="10"/>
  <c r="M402" i="10"/>
  <c r="L394" i="10"/>
  <c r="M393" i="10"/>
  <c r="L384" i="10"/>
  <c r="R373" i="10"/>
  <c r="R372" i="10"/>
  <c r="L363" i="10"/>
  <c r="L351" i="10"/>
  <c r="L340" i="10"/>
  <c r="M340" i="10"/>
  <c r="R340" i="10"/>
  <c r="S340" i="10"/>
  <c r="R313" i="10"/>
  <c r="S504" i="10"/>
  <c r="R446" i="10"/>
  <c r="R439" i="10"/>
  <c r="R438" i="10"/>
  <c r="L432" i="10"/>
  <c r="R424" i="10"/>
  <c r="R417" i="10"/>
  <c r="S409" i="10"/>
  <c r="L402" i="10"/>
  <c r="L393" i="10"/>
  <c r="S382" i="10"/>
  <c r="R381" i="10"/>
  <c r="L373" i="10"/>
  <c r="M372" i="10"/>
  <c r="S361" i="10"/>
  <c r="M358" i="10"/>
  <c r="R358" i="10"/>
  <c r="S349" i="10"/>
  <c r="M348" i="10"/>
  <c r="L343" i="10"/>
  <c r="M343" i="10"/>
  <c r="R342" i="10"/>
  <c r="S342" i="10"/>
  <c r="L334" i="10"/>
  <c r="M334" i="10"/>
  <c r="R334" i="10"/>
  <c r="S334" i="10"/>
  <c r="S331" i="10"/>
  <c r="L331" i="10"/>
  <c r="M331" i="10"/>
  <c r="S301" i="10"/>
  <c r="L301" i="10"/>
  <c r="M301" i="10"/>
  <c r="R283" i="10"/>
  <c r="L213" i="10"/>
  <c r="M213" i="10"/>
  <c r="R213" i="10"/>
  <c r="S213" i="10"/>
  <c r="M424" i="10"/>
  <c r="M417" i="10"/>
  <c r="M388" i="10"/>
  <c r="R388" i="10"/>
  <c r="L382" i="10"/>
  <c r="M381" i="10"/>
  <c r="L372" i="10"/>
  <c r="R361" i="10"/>
  <c r="R349" i="10"/>
  <c r="L348" i="10"/>
  <c r="L337" i="10"/>
  <c r="M337" i="10"/>
  <c r="R336" i="10"/>
  <c r="S336" i="10"/>
  <c r="R319" i="10"/>
  <c r="L304" i="10"/>
  <c r="M304" i="10"/>
  <c r="R304" i="10"/>
  <c r="S304" i="10"/>
  <c r="R289" i="10"/>
  <c r="L227" i="10"/>
  <c r="M227" i="10"/>
  <c r="R227" i="10"/>
  <c r="S227" i="10"/>
  <c r="L220" i="10"/>
  <c r="M220" i="10"/>
  <c r="R220" i="10"/>
  <c r="S220" i="10"/>
  <c r="L355" i="10"/>
  <c r="M355" i="10"/>
  <c r="L438" i="10"/>
  <c r="L381" i="10"/>
  <c r="L361" i="10"/>
  <c r="L195" i="10"/>
  <c r="M195" i="10"/>
  <c r="R195" i="10"/>
  <c r="S195" i="10"/>
  <c r="S330" i="10"/>
  <c r="S324" i="10"/>
  <c r="S318" i="10"/>
  <c r="S312" i="10"/>
  <c r="S306" i="10"/>
  <c r="S300" i="10"/>
  <c r="S294" i="10"/>
  <c r="S288" i="10"/>
  <c r="S282" i="10"/>
  <c r="M277" i="10"/>
  <c r="S276" i="10"/>
  <c r="M271" i="10"/>
  <c r="S270" i="10"/>
  <c r="L265" i="10"/>
  <c r="R236" i="10"/>
  <c r="R235" i="10"/>
  <c r="L229" i="10"/>
  <c r="L215" i="10"/>
  <c r="L207" i="10"/>
  <c r="R206" i="10"/>
  <c r="R205" i="10"/>
  <c r="R197" i="10"/>
  <c r="S196" i="10"/>
  <c r="L161" i="10"/>
  <c r="M161" i="10"/>
  <c r="S161" i="10"/>
  <c r="L137" i="10"/>
  <c r="M137" i="10"/>
  <c r="S137" i="10"/>
  <c r="R330" i="10"/>
  <c r="R324" i="10"/>
  <c r="R318" i="10"/>
  <c r="R312" i="10"/>
  <c r="R306" i="10"/>
  <c r="R300" i="10"/>
  <c r="R294" i="10"/>
  <c r="R288" i="10"/>
  <c r="R282" i="10"/>
  <c r="L277" i="10"/>
  <c r="R276" i="10"/>
  <c r="L271" i="10"/>
  <c r="R270" i="10"/>
  <c r="S242" i="10"/>
  <c r="L236" i="10"/>
  <c r="L206" i="10"/>
  <c r="M197" i="10"/>
  <c r="L179" i="10"/>
  <c r="M179" i="10"/>
  <c r="R178" i="10"/>
  <c r="S178" i="10"/>
  <c r="M158" i="10"/>
  <c r="S158" i="10"/>
  <c r="M176" i="10"/>
  <c r="S176" i="10"/>
  <c r="S262" i="10"/>
  <c r="S255" i="10"/>
  <c r="L242" i="10"/>
  <c r="S233" i="10"/>
  <c r="S226" i="10"/>
  <c r="L155" i="10"/>
  <c r="M155" i="10"/>
  <c r="S155" i="10"/>
  <c r="L131" i="10"/>
  <c r="M131" i="10"/>
  <c r="S131" i="10"/>
  <c r="S280" i="10"/>
  <c r="S274" i="10"/>
  <c r="S268" i="10"/>
  <c r="R262" i="10"/>
  <c r="R255" i="10"/>
  <c r="R247" i="10"/>
  <c r="R233" i="10"/>
  <c r="R226" i="10"/>
  <c r="R219" i="10"/>
  <c r="R211" i="10"/>
  <c r="S202" i="10"/>
  <c r="M152" i="10"/>
  <c r="S152" i="10"/>
  <c r="R280" i="10"/>
  <c r="R274" i="10"/>
  <c r="R268" i="10"/>
  <c r="S261" i="10"/>
  <c r="S254" i="10"/>
  <c r="M247" i="10"/>
  <c r="S239" i="10"/>
  <c r="S232" i="10"/>
  <c r="S225" i="10"/>
  <c r="S218" i="10"/>
  <c r="M211" i="10"/>
  <c r="M202" i="10"/>
  <c r="S201" i="10"/>
  <c r="S179" i="10"/>
  <c r="M178" i="10"/>
  <c r="L173" i="10"/>
  <c r="M173" i="10"/>
  <c r="R172" i="10"/>
  <c r="S172" i="10"/>
  <c r="R161" i="10"/>
  <c r="R158" i="10"/>
  <c r="S339" i="10"/>
  <c r="S333" i="10"/>
  <c r="S327" i="10"/>
  <c r="S321" i="10"/>
  <c r="S315" i="10"/>
  <c r="S309" i="10"/>
  <c r="S303" i="10"/>
  <c r="M280" i="10"/>
  <c r="M274" i="10"/>
  <c r="M268" i="10"/>
  <c r="R254" i="10"/>
  <c r="R218" i="10"/>
  <c r="M188" i="10"/>
  <c r="S188" i="10"/>
  <c r="M170" i="10"/>
  <c r="S170" i="10"/>
  <c r="L149" i="10"/>
  <c r="M149" i="10"/>
  <c r="S149" i="10"/>
  <c r="L125" i="10"/>
  <c r="M125" i="10"/>
  <c r="S125" i="10"/>
  <c r="L119" i="10"/>
  <c r="M119" i="10"/>
  <c r="R119" i="10"/>
  <c r="S119" i="10"/>
  <c r="L113" i="10"/>
  <c r="M113" i="10"/>
  <c r="R113" i="10"/>
  <c r="S113" i="10"/>
  <c r="L107" i="10"/>
  <c r="M107" i="10"/>
  <c r="R107" i="10"/>
  <c r="S107" i="10"/>
  <c r="R333" i="10"/>
  <c r="R327" i="10"/>
  <c r="R321" i="10"/>
  <c r="R315" i="10"/>
  <c r="R309" i="10"/>
  <c r="R303" i="10"/>
  <c r="R297" i="10"/>
  <c r="R291" i="10"/>
  <c r="R285" i="10"/>
  <c r="R279" i="10"/>
  <c r="R273" i="10"/>
  <c r="R267" i="10"/>
  <c r="S260" i="10"/>
  <c r="L254" i="10"/>
  <c r="S224" i="10"/>
  <c r="L218" i="10"/>
  <c r="M217" i="10"/>
  <c r="M146" i="10"/>
  <c r="S146" i="10"/>
  <c r="R131" i="10"/>
  <c r="L260" i="10"/>
  <c r="S230" i="10"/>
  <c r="L224" i="10"/>
  <c r="M209" i="10"/>
  <c r="M208" i="10"/>
  <c r="L200" i="10"/>
  <c r="M199" i="10"/>
  <c r="M191" i="10"/>
  <c r="M190" i="10"/>
  <c r="L185" i="10"/>
  <c r="M185" i="10"/>
  <c r="R184" i="10"/>
  <c r="S184" i="10"/>
  <c r="L167" i="10"/>
  <c r="M167" i="10"/>
  <c r="R166" i="10"/>
  <c r="S166" i="10"/>
  <c r="L152" i="10"/>
  <c r="L143" i="10"/>
  <c r="M143" i="10"/>
  <c r="S143" i="10"/>
  <c r="R188" i="10"/>
  <c r="M182" i="10"/>
  <c r="S182" i="10"/>
  <c r="R170" i="10"/>
  <c r="M164" i="10"/>
  <c r="S164" i="10"/>
  <c r="S101" i="10"/>
  <c r="S95" i="10"/>
  <c r="S89" i="10"/>
  <c r="S83" i="10"/>
  <c r="S77" i="10"/>
  <c r="S71" i="10"/>
  <c r="S65" i="10"/>
  <c r="S59" i="10"/>
  <c r="S53" i="10"/>
  <c r="S47" i="10"/>
  <c r="S41" i="10"/>
  <c r="S35" i="10"/>
  <c r="S29" i="10"/>
  <c r="S23" i="10"/>
  <c r="R101" i="10"/>
  <c r="R95" i="10"/>
  <c r="R89" i="10"/>
  <c r="R83" i="10"/>
  <c r="R77" i="10"/>
  <c r="R71" i="10"/>
  <c r="R65" i="10"/>
  <c r="R59" i="10"/>
  <c r="R53" i="10"/>
  <c r="R47" i="10"/>
  <c r="R41" i="10"/>
  <c r="R35" i="10"/>
  <c r="R29" i="10"/>
  <c r="R23" i="10"/>
  <c r="R17" i="10"/>
  <c r="R11" i="10"/>
  <c r="S160" i="10"/>
  <c r="S154" i="10"/>
  <c r="S148" i="10"/>
  <c r="S142" i="10"/>
  <c r="S136" i="10"/>
  <c r="S130" i="10"/>
  <c r="S124" i="10"/>
  <c r="S118" i="10"/>
  <c r="S112" i="10"/>
  <c r="S106" i="10"/>
  <c r="M101" i="10"/>
  <c r="S100" i="10"/>
  <c r="M95" i="10"/>
  <c r="S94" i="10"/>
  <c r="M89" i="10"/>
  <c r="S88" i="10"/>
  <c r="M83" i="10"/>
  <c r="S82" i="10"/>
  <c r="M77" i="10"/>
  <c r="S76" i="10"/>
  <c r="M71" i="10"/>
  <c r="S70" i="10"/>
  <c r="M65" i="10"/>
  <c r="S64" i="10"/>
  <c r="M59" i="10"/>
  <c r="S58" i="10"/>
  <c r="M53" i="10"/>
  <c r="S52" i="10"/>
  <c r="M47" i="10"/>
  <c r="S46" i="10"/>
  <c r="M41" i="10"/>
  <c r="S40" i="10"/>
  <c r="M35" i="10"/>
  <c r="S34" i="10"/>
  <c r="M29" i="10"/>
  <c r="S28" i="10"/>
  <c r="M23" i="10"/>
  <c r="S22" i="10"/>
  <c r="M17" i="10"/>
  <c r="S16" i="10"/>
  <c r="M11" i="10"/>
  <c r="S10" i="10"/>
  <c r="R124" i="10"/>
  <c r="R118" i="10"/>
  <c r="R112" i="10"/>
  <c r="R106" i="10"/>
  <c r="R100" i="10"/>
  <c r="R94" i="10"/>
  <c r="R88" i="10"/>
  <c r="R82" i="10"/>
  <c r="R76" i="10"/>
  <c r="R70" i="10"/>
  <c r="R64" i="10"/>
  <c r="R58" i="10"/>
  <c r="R52" i="10"/>
  <c r="R46" i="10"/>
  <c r="R40" i="10"/>
  <c r="R34" i="10"/>
  <c r="R28" i="10"/>
  <c r="R22" i="10"/>
  <c r="R16" i="10"/>
  <c r="R10" i="10"/>
  <c r="S123" i="10"/>
  <c r="S117" i="10"/>
  <c r="S111" i="10"/>
  <c r="M106" i="10"/>
  <c r="S105" i="10"/>
  <c r="M100" i="10"/>
  <c r="M94" i="10"/>
  <c r="M76" i="10"/>
  <c r="M70" i="10"/>
  <c r="M64" i="10"/>
  <c r="M58" i="10"/>
  <c r="M52" i="10"/>
  <c r="S51" i="10"/>
  <c r="M46" i="10"/>
  <c r="S45" i="10"/>
  <c r="M40" i="10"/>
  <c r="S39" i="10"/>
  <c r="M34" i="10"/>
  <c r="S33" i="10"/>
  <c r="M28" i="10"/>
  <c r="S27" i="10"/>
  <c r="M22" i="10"/>
  <c r="S21" i="10"/>
  <c r="M16" i="10"/>
  <c r="S15" i="10"/>
  <c r="M10" i="10"/>
  <c r="S9" i="10"/>
  <c r="R57" i="10"/>
  <c r="R51" i="10"/>
  <c r="R45" i="10"/>
  <c r="R39" i="10"/>
  <c r="R33" i="10"/>
  <c r="R27" i="10"/>
  <c r="R21" i="10"/>
  <c r="R15" i="10"/>
  <c r="R9" i="10"/>
  <c r="S140" i="10"/>
  <c r="S134" i="10"/>
  <c r="S128" i="10"/>
  <c r="S122" i="10"/>
  <c r="S116" i="10"/>
  <c r="S110" i="10"/>
  <c r="S104" i="10"/>
  <c r="S98" i="10"/>
  <c r="S92" i="10"/>
  <c r="S86" i="10"/>
  <c r="S80" i="10"/>
  <c r="S74" i="10"/>
  <c r="S68" i="10"/>
  <c r="S62" i="10"/>
  <c r="S56" i="10"/>
  <c r="S50" i="10"/>
  <c r="S44" i="10"/>
  <c r="S38" i="10"/>
  <c r="S32" i="10"/>
  <c r="S26" i="10"/>
  <c r="S20" i="10"/>
  <c r="S14" i="10"/>
  <c r="S8" i="10"/>
  <c r="S7" i="16" l="1" a="1"/>
  <c r="S7" i="16" s="1"/>
  <c r="R7" i="16" a="1"/>
  <c r="R7" i="16" s="1"/>
  <c r="Q7" i="16"/>
  <c r="F7" i="16"/>
  <c r="T57" i="1" l="1"/>
  <c r="S57" i="1"/>
  <c r="R57" i="1"/>
  <c r="Q57" i="1"/>
  <c r="P57" i="1"/>
  <c r="N57" i="1"/>
  <c r="M57" i="1"/>
  <c r="L57" i="1"/>
  <c r="F57" i="1"/>
  <c r="E57" i="1"/>
  <c r="D57" i="1"/>
  <c r="C57" i="1"/>
  <c r="B57" i="1"/>
  <c r="H56" i="1"/>
  <c r="G56" i="1"/>
  <c r="H55" i="1"/>
  <c r="G55" i="1"/>
  <c r="H54" i="1"/>
  <c r="I54" i="1" s="1"/>
  <c r="G54" i="1"/>
  <c r="H53" i="1"/>
  <c r="G53" i="1"/>
  <c r="I53" i="1" s="1"/>
  <c r="H52" i="1"/>
  <c r="G52" i="1"/>
  <c r="H51" i="1"/>
  <c r="G51" i="1"/>
  <c r="I51" i="1" s="1"/>
  <c r="H50" i="1"/>
  <c r="G50" i="1"/>
  <c r="H49" i="1"/>
  <c r="G49" i="1"/>
  <c r="H48" i="1"/>
  <c r="G48" i="1"/>
  <c r="H47" i="1"/>
  <c r="G47" i="1"/>
  <c r="H46" i="1"/>
  <c r="G46" i="1"/>
  <c r="H45" i="1"/>
  <c r="G45" i="1"/>
  <c r="H44" i="1"/>
  <c r="G44" i="1"/>
  <c r="H43" i="1"/>
  <c r="G43" i="1"/>
  <c r="H42" i="1"/>
  <c r="G42" i="1"/>
  <c r="H41" i="1"/>
  <c r="G41" i="1"/>
  <c r="H40" i="1"/>
  <c r="G40" i="1"/>
  <c r="H39" i="1"/>
  <c r="G39" i="1"/>
  <c r="H38" i="1"/>
  <c r="G38" i="1"/>
  <c r="H37" i="1"/>
  <c r="G37" i="1"/>
  <c r="H36" i="1"/>
  <c r="G36" i="1"/>
  <c r="H35" i="1"/>
  <c r="I35" i="1" s="1"/>
  <c r="G35" i="1"/>
  <c r="H34" i="1"/>
  <c r="G34" i="1"/>
  <c r="H33" i="1"/>
  <c r="G33" i="1"/>
  <c r="H32" i="1"/>
  <c r="G32" i="1"/>
  <c r="H31" i="1"/>
  <c r="G31" i="1"/>
  <c r="H30" i="1"/>
  <c r="G30" i="1"/>
  <c r="H29" i="1"/>
  <c r="G29" i="1"/>
  <c r="H28" i="1"/>
  <c r="G28" i="1"/>
  <c r="H27" i="1"/>
  <c r="G27" i="1"/>
  <c r="H26" i="1"/>
  <c r="G26" i="1"/>
  <c r="H25" i="1"/>
  <c r="G25" i="1"/>
  <c r="H24" i="1"/>
  <c r="G24" i="1"/>
  <c r="H23" i="1"/>
  <c r="G23" i="1"/>
  <c r="H22" i="1"/>
  <c r="G22" i="1"/>
  <c r="H21" i="1"/>
  <c r="G21" i="1"/>
  <c r="H20" i="1"/>
  <c r="G20" i="1"/>
  <c r="H19" i="1"/>
  <c r="G19" i="1"/>
  <c r="H18" i="1"/>
  <c r="G18" i="1"/>
  <c r="H17" i="1"/>
  <c r="I17" i="1" s="1"/>
  <c r="G17" i="1"/>
  <c r="H16" i="1"/>
  <c r="G16" i="1"/>
  <c r="H15" i="1"/>
  <c r="G15" i="1"/>
  <c r="H14" i="1"/>
  <c r="G14" i="1"/>
  <c r="H13" i="1"/>
  <c r="G13" i="1"/>
  <c r="H12" i="1"/>
  <c r="G12" i="1"/>
  <c r="H11" i="1"/>
  <c r="I11" i="1" s="1"/>
  <c r="G11" i="1"/>
  <c r="H10" i="1"/>
  <c r="G10" i="1"/>
  <c r="H9" i="1"/>
  <c r="G9" i="1"/>
  <c r="H8" i="1"/>
  <c r="G8" i="1"/>
  <c r="H7" i="1"/>
  <c r="G7" i="1"/>
  <c r="H6" i="1"/>
  <c r="G6" i="1"/>
  <c r="H5" i="1"/>
  <c r="G5" i="1"/>
  <c r="K4" i="1"/>
  <c r="J5" i="1" s="1"/>
  <c r="H4" i="1"/>
  <c r="G4" i="1"/>
  <c r="I6" i="1" l="1"/>
  <c r="I7" i="1"/>
  <c r="I43" i="1"/>
  <c r="G57" i="1"/>
  <c r="I18" i="1"/>
  <c r="I26" i="1"/>
  <c r="I34" i="1"/>
  <c r="I38" i="1"/>
  <c r="I42" i="1"/>
  <c r="I50" i="1"/>
  <c r="I25" i="1"/>
  <c r="I33" i="1"/>
  <c r="I41" i="1"/>
  <c r="I49" i="1"/>
  <c r="I19" i="1"/>
  <c r="I27" i="1"/>
  <c r="H57" i="1"/>
  <c r="I57" i="1" s="1"/>
  <c r="I5" i="1"/>
  <c r="I12" i="1"/>
  <c r="I16" i="1"/>
  <c r="I23" i="1"/>
  <c r="I30" i="1"/>
  <c r="I47" i="1"/>
  <c r="I9" i="1"/>
  <c r="I37" i="1"/>
  <c r="I10" i="1"/>
  <c r="I13" i="1"/>
  <c r="I20" i="1"/>
  <c r="I24" i="1"/>
  <c r="I31" i="1"/>
  <c r="I44" i="1"/>
  <c r="I48" i="1"/>
  <c r="I4" i="1"/>
  <c r="I14" i="1"/>
  <c r="I21" i="1"/>
  <c r="I28" i="1"/>
  <c r="I32" i="1"/>
  <c r="I45" i="1"/>
  <c r="I55" i="1"/>
  <c r="I39" i="1"/>
  <c r="I52" i="1"/>
  <c r="I15" i="1"/>
  <c r="I22" i="1"/>
  <c r="I29" i="1"/>
  <c r="I46" i="1"/>
  <c r="I56" i="1"/>
  <c r="I8" i="1"/>
  <c r="I36" i="1"/>
  <c r="I40" i="1"/>
  <c r="K5" i="1"/>
  <c r="J6" i="1" s="1"/>
  <c r="K6" i="1" l="1"/>
  <c r="J7" i="1" s="1"/>
  <c r="K7" i="1" l="1"/>
  <c r="J8" i="1" s="1"/>
  <c r="K8" i="1" l="1"/>
  <c r="J9" i="1" s="1"/>
  <c r="K9" i="1" l="1"/>
  <c r="J10" i="1" s="1"/>
  <c r="K10" i="1" l="1"/>
  <c r="J11" i="1" s="1"/>
  <c r="K11" i="1" l="1"/>
  <c r="J12" i="1" s="1"/>
  <c r="K12" i="1" l="1"/>
  <c r="J13" i="1" s="1"/>
  <c r="K13" i="1" s="1"/>
  <c r="J14" i="1" s="1"/>
  <c r="K14" i="1" s="1"/>
  <c r="J15" i="1" s="1"/>
  <c r="K15" i="1" s="1"/>
  <c r="J16" i="1" s="1"/>
  <c r="K16" i="1" s="1"/>
  <c r="J17" i="1" s="1"/>
  <c r="K17" i="1" s="1"/>
  <c r="J18" i="1" s="1"/>
  <c r="K18" i="1" s="1"/>
  <c r="J19" i="1" s="1"/>
  <c r="K19" i="1" s="1"/>
  <c r="J20" i="1" s="1"/>
  <c r="K20" i="1" s="1"/>
  <c r="J21" i="1" s="1"/>
  <c r="K21" i="1" s="1"/>
  <c r="J22" i="1" s="1"/>
  <c r="K22" i="1" s="1"/>
  <c r="J23" i="1" s="1"/>
  <c r="K23" i="1" s="1"/>
  <c r="J24" i="1" s="1"/>
  <c r="K24" i="1" s="1"/>
  <c r="J25" i="1" s="1"/>
  <c r="K25" i="1" s="1"/>
  <c r="J26" i="1" s="1"/>
  <c r="K26" i="1" s="1"/>
  <c r="J27" i="1" s="1"/>
  <c r="K27" i="1" s="1"/>
  <c r="J28" i="1" s="1"/>
  <c r="K28" i="1" s="1"/>
  <c r="J29" i="1" s="1"/>
  <c r="K29" i="1" s="1"/>
  <c r="J30" i="1" s="1"/>
  <c r="K30" i="1" s="1"/>
  <c r="J31" i="1" s="1"/>
  <c r="K31" i="1" s="1"/>
  <c r="J32" i="1" s="1"/>
  <c r="K32" i="1" s="1"/>
  <c r="J33" i="1" s="1"/>
  <c r="K33" i="1" s="1"/>
  <c r="J34" i="1" s="1"/>
  <c r="K34" i="1" s="1"/>
  <c r="J35" i="1" s="1"/>
  <c r="K35" i="1" s="1"/>
  <c r="J36" i="1" s="1"/>
  <c r="K36" i="1" s="1"/>
  <c r="J37" i="1" s="1"/>
  <c r="K37" i="1" l="1"/>
  <c r="J38" i="1" l="1"/>
  <c r="K38" i="1" l="1"/>
  <c r="J39" i="1" l="1"/>
  <c r="K39" i="1" l="1"/>
  <c r="J40" i="1" l="1"/>
  <c r="K40" i="1" l="1"/>
  <c r="J41" i="1" l="1"/>
  <c r="K41" i="1" l="1"/>
  <c r="J42" i="1" l="1"/>
  <c r="K42" i="1" s="1"/>
  <c r="J43" i="1" s="1"/>
  <c r="K43" i="1" s="1"/>
  <c r="J44" i="1" s="1"/>
  <c r="K44" i="1" s="1"/>
  <c r="J45" i="1" s="1"/>
  <c r="K45" i="1" s="1"/>
  <c r="J46" i="1" s="1"/>
  <c r="K46" i="1" s="1"/>
  <c r="J47" i="1" s="1"/>
  <c r="K47" i="1" s="1"/>
  <c r="J48" i="1" s="1"/>
  <c r="K48" i="1" s="1"/>
  <c r="J49" i="1" s="1"/>
  <c r="K49" i="1" s="1"/>
  <c r="J50" i="1" s="1"/>
  <c r="K50" i="1" s="1"/>
  <c r="J51" i="1" s="1"/>
  <c r="K51" i="1" s="1"/>
  <c r="J52" i="1" s="1"/>
  <c r="K52" i="1" s="1"/>
  <c r="J53" i="1" s="1"/>
  <c r="K53" i="1" s="1"/>
  <c r="J54" i="1" s="1"/>
  <c r="K54" i="1" s="1"/>
  <c r="J55" i="1" s="1"/>
  <c r="K55" i="1" s="1"/>
  <c r="J56" i="1" s="1"/>
  <c r="K56" i="1" l="1"/>
  <c r="K57" i="1" s="1"/>
  <c r="J57" i="1"/>
  <c r="O57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243DDA-2A26-42AF-841A-18D0A801D66B}" keepAlive="1" name="Query - BalanceDate" description="Connection to the 'BalanceDate' query in the workbook." type="5" refreshedVersion="0" background="1">
    <dbPr connection="Provider=Microsoft.Mashup.OleDb.1;Data Source=$Workbook$;Location=BalanceDate;Extended Properties=&quot;&quot;" command="SELECT * FROM [BalanceDate]"/>
  </connection>
  <connection id="2" xr16:uid="{60038935-8AA4-4AB2-9882-3B8B27913640}" keepAlive="1" name="Query - BalanceDate (10)" description="Connection to the 'BalanceDate (10)' query in the workbook." type="5" refreshedVersion="0" background="1">
    <dbPr connection="Provider=Microsoft.Mashup.OleDb.1;Data Source=$Workbook$;Location=&quot;BalanceDate (10)&quot;;Extended Properties=&quot;&quot;" command="SELECT * FROM [BalanceDate (10)]"/>
  </connection>
  <connection id="3" xr16:uid="{24411F1F-EFA7-4793-99A9-A415E2748C27}" keepAlive="1" name="Query - BalanceDate (11)" description="Connection to the 'BalanceDate (11)' query in the workbook." type="5" refreshedVersion="0" background="1">
    <dbPr connection="Provider=Microsoft.Mashup.OleDb.1;Data Source=$Workbook$;Location=&quot;BalanceDate (11)&quot;;Extended Properties=&quot;&quot;" command="SELECT * FROM [BalanceDate (11)]"/>
  </connection>
  <connection id="4" xr16:uid="{75EBDE82-A7A0-4D55-B265-9E5523A2F3D5}" keepAlive="1" name="Query - BalanceDate (2)" description="Connection to the 'BalanceDate (2)' query in the workbook." type="5" refreshedVersion="0" background="1">
    <dbPr connection="Provider=Microsoft.Mashup.OleDb.1;Data Source=$Workbook$;Location=&quot;BalanceDate (2)&quot;;Extended Properties=&quot;&quot;" command="SELECT * FROM [BalanceDate (2)]"/>
  </connection>
  <connection id="5" xr16:uid="{5EE85594-6BD6-4264-BA82-45076BD14859}" keepAlive="1" name="Query - BalanceDate (3)" description="Connection to the 'BalanceDate (3)' query in the workbook." type="5" refreshedVersion="0" background="1">
    <dbPr connection="Provider=Microsoft.Mashup.OleDb.1;Data Source=$Workbook$;Location=&quot;BalanceDate (3)&quot;;Extended Properties=&quot;&quot;" command="SELECT * FROM [BalanceDate (3)]"/>
  </connection>
  <connection id="6" xr16:uid="{532D996A-8481-4B7F-8853-810C52A1444B}" keepAlive="1" name="Query - BalanceDate (4)" description="Connection to the 'BalanceDate (4)' query in the workbook." type="5" refreshedVersion="0" background="1">
    <dbPr connection="Provider=Microsoft.Mashup.OleDb.1;Data Source=$Workbook$;Location=&quot;BalanceDate (4)&quot;;Extended Properties=&quot;&quot;" command="SELECT * FROM [BalanceDate (4)]"/>
  </connection>
  <connection id="7" xr16:uid="{7AB66350-187E-4523-884E-4E1027D9D352}" keepAlive="1" name="Query - BalanceDate (5)" description="Connection to the 'BalanceDate (5)' query in the workbook." type="5" refreshedVersion="0" background="1">
    <dbPr connection="Provider=Microsoft.Mashup.OleDb.1;Data Source=$Workbook$;Location=&quot;BalanceDate (5)&quot;;Extended Properties=&quot;&quot;" command="SELECT * FROM [BalanceDate (5)]"/>
  </connection>
  <connection id="8" xr16:uid="{08E2E093-DF3F-46FF-8758-98FCD784412A}" keepAlive="1" name="Query - BalanceDate (6)" description="Connection to the 'BalanceDate (6)' query in the workbook." type="5" refreshedVersion="0" background="1">
    <dbPr connection="Provider=Microsoft.Mashup.OleDb.1;Data Source=$Workbook$;Location=&quot;BalanceDate (6)&quot;;Extended Properties=&quot;&quot;" command="SELECT * FROM [BalanceDate (6)]"/>
  </connection>
  <connection id="9" xr16:uid="{C75C49E4-3398-45F0-B7F4-E9CB1D148935}" keepAlive="1" name="Query - BalanceDate (7)" description="Connection to the 'BalanceDate (7)' query in the workbook." type="5" refreshedVersion="0" background="1">
    <dbPr connection="Provider=Microsoft.Mashup.OleDb.1;Data Source=$Workbook$;Location=&quot;BalanceDate (7)&quot;;Extended Properties=&quot;&quot;" command="SELECT * FROM [BalanceDate (7)]"/>
  </connection>
  <connection id="10" xr16:uid="{D424AD00-A138-4CFD-9D3D-5C86C0E818D0}" keepAlive="1" name="Query - BalanceDate (8)" description="Connection to the 'BalanceDate (8)' query in the workbook." type="5" refreshedVersion="0" background="1">
    <dbPr connection="Provider=Microsoft.Mashup.OleDb.1;Data Source=$Workbook$;Location=&quot;BalanceDate (8)&quot;;Extended Properties=&quot;&quot;" command="SELECT * FROM [BalanceDate (8)]"/>
  </connection>
  <connection id="11" xr16:uid="{EE9BFC99-3F2F-4BF7-9C32-D060CF09FA36}" keepAlive="1" name="Query - BalanceDate (9)" description="Connection to the 'BalanceDate (9)' query in the workbook." type="5" refreshedVersion="0" background="1">
    <dbPr connection="Provider=Microsoft.Mashup.OleDb.1;Data Source=$Workbook$;Location=&quot;BalanceDate (9)&quot;;Extended Properties=&quot;&quot;" command="SELECT * FROM [BalanceDate (9)]"/>
  </connection>
  <connection id="12" xr16:uid="{2F359FB5-B55A-4327-9AF3-A9BFD70CF2E8}" keepAlive="1" name="Query - EmployeeStartDate" description="Connection to the 'EmployeeStartDate' query in the workbook." type="5" refreshedVersion="0" background="1">
    <dbPr connection="Provider=Microsoft.Mashup.OleDb.1;Data Source=$Workbook$;Location=EmployeeStartDate;Extended Properties=&quot;&quot;" command="SELECT * FROM [EmployeeStartDate]"/>
  </connection>
  <connection id="13" xr16:uid="{6AED9056-A346-4F2D-98EC-8FF7D7C881E5}" keepAlive="1" name="Query - EmployeeStartDate (10)" description="Connection to the 'EmployeeStartDate (10)' query in the workbook." type="5" refreshedVersion="0" background="1">
    <dbPr connection="Provider=Microsoft.Mashup.OleDb.1;Data Source=$Workbook$;Location=&quot;EmployeeStartDate (10)&quot;;Extended Properties=&quot;&quot;" command="SELECT * FROM [EmployeeStartDate (10)]"/>
  </connection>
  <connection id="14" xr16:uid="{8816CA18-3C36-43D3-80CA-E37AFDFFBC95}" keepAlive="1" name="Query - EmployeeStartDate (11)" description="Connection to the 'EmployeeStartDate (11)' query in the workbook." type="5" refreshedVersion="0" background="1">
    <dbPr connection="Provider=Microsoft.Mashup.OleDb.1;Data Source=$Workbook$;Location=&quot;EmployeeStartDate (11)&quot;;Extended Properties=&quot;&quot;" command="SELECT * FROM [EmployeeStartDate (11)]"/>
  </connection>
  <connection id="15" xr16:uid="{A27C8C51-90FA-46CB-B688-FBB31C179EDD}" keepAlive="1" name="Query - EmployeeStartDate (2)" description="Connection to the 'EmployeeStartDate (2)' query in the workbook." type="5" refreshedVersion="0" background="1">
    <dbPr connection="Provider=Microsoft.Mashup.OleDb.1;Data Source=$Workbook$;Location=&quot;EmployeeStartDate (2)&quot;;Extended Properties=&quot;&quot;" command="SELECT * FROM [EmployeeStartDate (2)]"/>
  </connection>
  <connection id="16" xr16:uid="{5F10CACE-0950-40B9-A4E3-C5C624314DD7}" keepAlive="1" name="Query - EmployeeStartDate (3)" description="Connection to the 'EmployeeStartDate (3)' query in the workbook." type="5" refreshedVersion="0" background="1">
    <dbPr connection="Provider=Microsoft.Mashup.OleDb.1;Data Source=$Workbook$;Location=&quot;EmployeeStartDate (3)&quot;;Extended Properties=&quot;&quot;" command="SELECT * FROM [EmployeeStartDate (3)]"/>
  </connection>
  <connection id="17" xr16:uid="{CA933DE5-042F-413E-AE0F-16A7C257BEC4}" keepAlive="1" name="Query - EmployeeStartDate (4)" description="Connection to the 'EmployeeStartDate (4)' query in the workbook." type="5" refreshedVersion="0" background="1">
    <dbPr connection="Provider=Microsoft.Mashup.OleDb.1;Data Source=$Workbook$;Location=&quot;EmployeeStartDate (4)&quot;;Extended Properties=&quot;&quot;" command="SELECT * FROM [EmployeeStartDate (4)]"/>
  </connection>
  <connection id="18" xr16:uid="{4562BEC0-7EB8-45A3-A777-43557BD4F2B6}" keepAlive="1" name="Query - EmployeeStartDate (5)" description="Connection to the 'EmployeeStartDate (5)' query in the workbook." type="5" refreshedVersion="0" background="1">
    <dbPr connection="Provider=Microsoft.Mashup.OleDb.1;Data Source=$Workbook$;Location=&quot;EmployeeStartDate (5)&quot;;Extended Properties=&quot;&quot;" command="SELECT * FROM [EmployeeStartDate (5)]"/>
  </connection>
  <connection id="19" xr16:uid="{21FD91B2-043B-4D80-A4C2-BA5A7A8DA01A}" keepAlive="1" name="Query - EmployeeStartDate (6)" description="Connection to the 'EmployeeStartDate (6)' query in the workbook." type="5" refreshedVersion="0" background="1">
    <dbPr connection="Provider=Microsoft.Mashup.OleDb.1;Data Source=$Workbook$;Location=&quot;EmployeeStartDate (6)&quot;;Extended Properties=&quot;&quot;" command="SELECT * FROM [EmployeeStartDate (6)]"/>
  </connection>
  <connection id="20" xr16:uid="{9D17C506-0422-4F37-9AA9-D84E1076AF0F}" keepAlive="1" name="Query - EmployeeStartDate (7)" description="Connection to the 'EmployeeStartDate (7)' query in the workbook." type="5" refreshedVersion="0" background="1">
    <dbPr connection="Provider=Microsoft.Mashup.OleDb.1;Data Source=$Workbook$;Location=&quot;EmployeeStartDate (7)&quot;;Extended Properties=&quot;&quot;" command="SELECT * FROM [EmployeeStartDate (7)]"/>
  </connection>
  <connection id="21" xr16:uid="{AAF05E95-54CD-457A-A939-5055450E5ABA}" keepAlive="1" name="Query - EmployeeStartDate (8)" description="Connection to the 'EmployeeStartDate (8)' query in the workbook." type="5" refreshedVersion="0" background="1">
    <dbPr connection="Provider=Microsoft.Mashup.OleDb.1;Data Source=$Workbook$;Location=&quot;EmployeeStartDate (8)&quot;;Extended Properties=&quot;&quot;" command="SELECT * FROM [EmployeeStartDate (8)]"/>
  </connection>
  <connection id="22" xr16:uid="{E4701D49-FC8A-464A-8AA4-44825E9AD478}" keepAlive="1" name="Query - EmployeeStartDate (9)" description="Connection to the 'EmployeeStartDate (9)' query in the workbook." type="5" refreshedVersion="0" background="1">
    <dbPr connection="Provider=Microsoft.Mashup.OleDb.1;Data Source=$Workbook$;Location=&quot;EmployeeStartDate (9)&quot;;Extended Properties=&quot;&quot;" command="SELECT * FROM [EmployeeStartDate (9)]"/>
  </connection>
  <connection id="23" xr16:uid="{EF5BFE2C-2E44-4182-BEFE-69C6B9A64A8E}" keepAlive="1" name="Query - Query1" description="Connection to the 'Query1' query in the workbook." type="5" refreshedVersion="6" saveData="1">
    <dbPr connection="Provider=Microsoft.Mashup.OleDb.1;Data Source=$Workbook$;Location=Query1;Extended Properties=&quot;&quot;" command="SELECT * FROM [Query1]"/>
  </connection>
  <connection id="24" xr16:uid="{E93C521B-A13D-4CA1-A307-62E13AF45280}" keepAlive="1" name="Query - Query1 (10)" description="Connection to the 'Query1 (10)' query in the workbook." type="5" refreshedVersion="6" saveData="1">
    <dbPr connection="Provider=Microsoft.Mashup.OleDb.1;Data Source=$Workbook$;Location=&quot;Query1 (10)&quot;;Extended Properties=&quot;&quot;" command="SELECT * FROM [Query1 (10)]"/>
  </connection>
  <connection id="25" xr16:uid="{AA3180E0-EB09-4C72-ADCE-902372697045}" keepAlive="1" name="Query - Query1 (11)" description="Connection to the 'Query1 (11)' query in the workbook." type="5" refreshedVersion="6" saveData="1">
    <dbPr connection="Provider=Microsoft.Mashup.OleDb.1;Data Source=$Workbook$;Location=&quot;Query1 (11)&quot;;Extended Properties=&quot;&quot;" command="SELECT * FROM [Query1 (11)]"/>
  </connection>
  <connection id="26" xr16:uid="{A02177DD-F02C-4990-9AD4-A0D993895D94}" keepAlive="1" name="Query - Query1 (2)" description="Connection to the 'Query1 (2)' query in the workbook." type="5" refreshedVersion="6" saveData="1">
    <dbPr connection="Provider=Microsoft.Mashup.OleDb.1;Data Source=$Workbook$;Location=&quot;Query1 (2)&quot;;Extended Properties=&quot;&quot;" command="SELECT * FROM [Query1 (2)]"/>
  </connection>
  <connection id="27" xr16:uid="{AA74B3DA-539C-4BF6-81F3-479876B356C5}" keepAlive="1" name="Query - Query1 (3)" description="Connection to the 'Query1 (3)' query in the workbook." type="5" refreshedVersion="6" saveData="1">
    <dbPr connection="Provider=Microsoft.Mashup.OleDb.1;Data Source=$Workbook$;Location=&quot;Query1 (3)&quot;;Extended Properties=&quot;&quot;" command="SELECT * FROM [Query1 (3)]"/>
  </connection>
  <connection id="28" xr16:uid="{945A06FE-3F53-488D-ADDD-4A8FDFA51DE5}" keepAlive="1" name="Query - Query1 (4)" description="Connection to the 'Query1 (4)' query in the workbook." type="5" refreshedVersion="6" saveData="1">
    <dbPr connection="Provider=Microsoft.Mashup.OleDb.1;Data Source=$Workbook$;Location=&quot;Query1 (4)&quot;;Extended Properties=&quot;&quot;" command="SELECT * FROM [Query1 (4)]"/>
  </connection>
  <connection id="29" xr16:uid="{DA1FF6C7-02F4-44C3-8C7F-1634D3A7847F}" keepAlive="1" name="Query - Query1 (5)" description="Connection to the 'Query1 (5)' query in the workbook." type="5" refreshedVersion="6" saveData="1">
    <dbPr connection="Provider=Microsoft.Mashup.OleDb.1;Data Source=$Workbook$;Location=&quot;Query1 (5)&quot;;Extended Properties=&quot;&quot;" command="SELECT * FROM [Query1 (5)]"/>
  </connection>
  <connection id="30" xr16:uid="{E2EDDB97-4E2A-4EDC-853B-2B9896EA7003}" keepAlive="1" name="Query - Query1 (6)" description="Connection to the 'Query1 (6)' query in the workbook." type="5" refreshedVersion="6" saveData="1">
    <dbPr connection="Provider=Microsoft.Mashup.OleDb.1;Data Source=$Workbook$;Location=&quot;Query1 (6)&quot;;Extended Properties=&quot;&quot;" command="SELECT * FROM [Query1 (6)]"/>
  </connection>
  <connection id="31" xr16:uid="{A88C61C4-E232-4F83-8FF8-66388F9CF0D8}" keepAlive="1" name="Query - Query1 (7)" description="Connection to the 'Query1 (7)' query in the workbook." type="5" refreshedVersion="6" saveData="1">
    <dbPr connection="Provider=Microsoft.Mashup.OleDb.1;Data Source=$Workbook$;Location=&quot;Query1 (7)&quot;;Extended Properties=&quot;&quot;" command="SELECT * FROM [Query1 (7)]"/>
  </connection>
  <connection id="32" xr16:uid="{3EF5BF0A-3EA7-476A-845F-9FA911CB8B52}" keepAlive="1" name="Query - Query1 (8)" description="Connection to the 'Query1 (8)' query in the workbook." type="5" refreshedVersion="6" saveData="1">
    <dbPr connection="Provider=Microsoft.Mashup.OleDb.1;Data Source=$Workbook$;Location=&quot;Query1 (8)&quot;;Extended Properties=&quot;&quot;" command="SELECT * FROM [Query1 (8)]"/>
  </connection>
  <connection id="33" xr16:uid="{4405BA92-8679-465F-8CAF-B565EE25E7E7}" keepAlive="1" name="Query - Query1 (9)" description="Connection to the 'Query1 (9)' query in the workbook." type="5" refreshedVersion="6" saveData="1">
    <dbPr connection="Provider=Microsoft.Mashup.OleDb.1;Data Source=$Workbook$;Location=&quot;Query1 (9)&quot;;Extended Properties=&quot;&quot;" command="SELECT * FROM [Query1 (9)]"/>
  </connection>
</connections>
</file>

<file path=xl/sharedStrings.xml><?xml version="1.0" encoding="utf-8"?>
<sst xmlns="http://schemas.openxmlformats.org/spreadsheetml/2006/main" count="93" uniqueCount="78">
  <si>
    <t>WK</t>
  </si>
  <si>
    <t>Fill Rate and DZ Dropout</t>
  </si>
  <si>
    <t>Headcount and Attrition</t>
  </si>
  <si>
    <t>Attendance</t>
  </si>
  <si>
    <t>FTC Attendance</t>
  </si>
  <si>
    <t>Week</t>
  </si>
  <si>
    <t>Actual Order</t>
  </si>
  <si>
    <t>Matched</t>
  </si>
  <si>
    <t>Day 0 Starters</t>
  </si>
  <si>
    <t>H&amp;S Fails</t>
  </si>
  <si>
    <t>Day 1 Starters</t>
  </si>
  <si>
    <t>Fill Rate % Day 0</t>
  </si>
  <si>
    <t>Fill Rate % vs allocation</t>
  </si>
  <si>
    <t>Day 0 to Day 1 Fluctuation</t>
  </si>
  <si>
    <t>SOW HC</t>
  </si>
  <si>
    <t>WTD/EOW HC</t>
  </si>
  <si>
    <t>New Hire Leavers</t>
  </si>
  <si>
    <t>Plan</t>
  </si>
  <si>
    <t>Attrition %</t>
  </si>
  <si>
    <t>End of Assignment</t>
  </si>
  <si>
    <t>Conversions</t>
  </si>
  <si>
    <t>IB Leavers</t>
  </si>
  <si>
    <t>OB Leavers</t>
  </si>
  <si>
    <t>ICQA Leavers</t>
  </si>
  <si>
    <t>Inbound Absence</t>
  </si>
  <si>
    <t>Outbound Absence</t>
  </si>
  <si>
    <t>Combined Absence</t>
  </si>
  <si>
    <t>Total</t>
  </si>
  <si>
    <t>Shift</t>
  </si>
  <si>
    <t>Day 0 Date</t>
  </si>
  <si>
    <t>Day 0 Time</t>
  </si>
  <si>
    <t>Day 1 Date</t>
  </si>
  <si>
    <t>Day 1 Time</t>
  </si>
  <si>
    <t>Employee ID</t>
  </si>
  <si>
    <t>Badge ID</t>
  </si>
  <si>
    <t>Last Name</t>
  </si>
  <si>
    <t>Manager</t>
  </si>
  <si>
    <t>Day 0 Attendance</t>
  </si>
  <si>
    <t>Day 1 Attendance</t>
  </si>
  <si>
    <t>Active</t>
  </si>
  <si>
    <t>DZ Hours Coded</t>
  </si>
  <si>
    <t>Day 1 punch Added</t>
  </si>
  <si>
    <t>Reason for No Show</t>
  </si>
  <si>
    <t>Folder to Save Archives</t>
  </si>
  <si>
    <t>First Name</t>
  </si>
  <si>
    <t>Attended</t>
  </si>
  <si>
    <t>Y</t>
  </si>
  <si>
    <t>Not Attended</t>
  </si>
  <si>
    <t>N</t>
  </si>
  <si>
    <t>F</t>
  </si>
  <si>
    <t>H&amp;S Fail - (Column N)</t>
  </si>
  <si>
    <t>Veteran Leavers</t>
  </si>
  <si>
    <t>Reason for Not Attending</t>
  </si>
  <si>
    <t>Password</t>
  </si>
  <si>
    <t>Login</t>
  </si>
  <si>
    <t>Populate this column</t>
  </si>
  <si>
    <t>Department</t>
  </si>
  <si>
    <t>Process</t>
  </si>
  <si>
    <t>Comments</t>
  </si>
  <si>
    <t>Other Comments</t>
  </si>
  <si>
    <t>EMP ID</t>
  </si>
  <si>
    <t>Y/N</t>
  </si>
  <si>
    <t>Y/N/F</t>
  </si>
  <si>
    <t>employee_id</t>
  </si>
  <si>
    <t>balance_date</t>
  </si>
  <si>
    <t>site_id</t>
  </si>
  <si>
    <t>hours</t>
  </si>
  <si>
    <t>Key</t>
  </si>
  <si>
    <t>Badge Number</t>
  </si>
  <si>
    <t>Location</t>
  </si>
  <si>
    <t>Manager Login</t>
  </si>
  <si>
    <t>Manager Name</t>
  </si>
  <si>
    <t>Shift Pattern</t>
  </si>
  <si>
    <t>Dept ID</t>
  </si>
  <si>
    <t>ALPS code</t>
  </si>
  <si>
    <t>Prebooked Holidays</t>
  </si>
  <si>
    <t>Missing Bank Details</t>
  </si>
  <si>
    <t>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</si>
</sst>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[$-409]d\-mmm\-yy;@"/>
    <numFmt numFmtId="166" formatCode="[$-F400]h:mm:ss\ AM/PM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Amazon Ember"/>
      <family val="2"/>
    </font>
    <font>
      <sz val="11"/>
      <color theme="1"/>
      <name val="Amazon Ember"/>
      <family val="2"/>
    </font>
    <font>
      <b/>
      <sz val="11"/>
      <name val="Amazon Ember"/>
      <family val="2"/>
    </font>
    <font>
      <u/>
      <sz val="11"/>
      <color theme="10"/>
      <name val="Amazon Ember"/>
      <family val="2"/>
    </font>
    <font>
      <b/>
      <sz val="12"/>
      <name val="Amazon Ember"/>
      <family val="2"/>
    </font>
    <font>
      <sz val="12"/>
      <name val="Amazon Ember"/>
      <family val="2"/>
    </font>
    <font>
      <b/>
      <sz val="12"/>
      <color theme="1"/>
      <name val="Amazon Ember"/>
      <family val="2"/>
    </font>
    <font>
      <sz val="12"/>
      <color theme="1"/>
      <name val="Amazon Ember"/>
      <family val="2"/>
    </font>
    <font>
      <sz val="9"/>
      <color theme="1"/>
      <name val="Amazon Ember"/>
      <family val="2"/>
    </font>
    <font>
      <b/>
      <sz val="12"/>
      <color theme="0"/>
      <name val="Amazon Ember"/>
      <family val="2"/>
    </font>
  </fonts>
  <fills count="5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8DDF9D"/>
        <bgColor indexed="64"/>
      </patternFill>
    </fill>
    <fill>
      <patternFill patternType="solid">
        <fgColor rgb="FF58D06F"/>
        <bgColor indexed="64"/>
      </patternFill>
    </fill>
    <fill>
      <patternFill patternType="solid">
        <fgColor rgb="FF2B953F"/>
        <bgColor indexed="64"/>
      </patternFill>
    </fill>
    <fill>
      <patternFill patternType="solid">
        <fgColor rgb="FF32B44B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theme="9"/>
      </patternFill>
    </fill>
  </fills>
  <borders count="53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51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37" applyNumberFormat="0" applyFill="0" applyAlignment="0" applyProtection="0"/>
    <xf numFmtId="0" fontId="4" fillId="0" borderId="38" applyNumberFormat="0" applyFill="0" applyAlignment="0" applyProtection="0"/>
    <xf numFmtId="0" fontId="5" fillId="0" borderId="39" applyNumberFormat="0" applyFill="0" applyAlignment="0" applyProtection="0"/>
    <xf numFmtId="0" fontId="5" fillId="0" borderId="0" applyNumberFormat="0" applyFill="0" applyBorder="0" applyAlignment="0" applyProtection="0"/>
    <xf numFmtId="0" fontId="6" fillId="12" borderId="0" applyNumberFormat="0" applyBorder="0" applyAlignment="0" applyProtection="0"/>
    <xf numFmtId="0" fontId="7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40" applyNumberFormat="0" applyAlignment="0" applyProtection="0"/>
    <xf numFmtId="0" fontId="10" fillId="16" borderId="41" applyNumberFormat="0" applyAlignment="0" applyProtection="0"/>
    <xf numFmtId="0" fontId="11" fillId="16" borderId="40" applyNumberFormat="0" applyAlignment="0" applyProtection="0"/>
    <xf numFmtId="0" fontId="12" fillId="0" borderId="42" applyNumberFormat="0" applyFill="0" applyAlignment="0" applyProtection="0"/>
    <xf numFmtId="0" fontId="13" fillId="17" borderId="43" applyNumberFormat="0" applyAlignment="0" applyProtection="0"/>
    <xf numFmtId="0" fontId="14" fillId="0" borderId="0" applyNumberFormat="0" applyFill="0" applyBorder="0" applyAlignment="0" applyProtection="0"/>
    <xf numFmtId="0" fontId="1" fillId="18" borderId="44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45" applyNumberFormat="0" applyFill="0" applyAlignment="0" applyProtection="0"/>
    <xf numFmtId="0" fontId="17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7" fillId="4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14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</cellStyleXfs>
  <cellXfs count="177">
    <xf numFmtId="0" fontId="0" fillId="0" borderId="0" xfId="0"/>
    <xf numFmtId="14" fontId="0" fillId="0" borderId="0" xfId="0" applyNumberFormat="1"/>
    <xf numFmtId="2" fontId="0" fillId="0" borderId="0" xfId="0" applyNumberFormat="1"/>
    <xf numFmtId="0" fontId="13" fillId="49" borderId="52" xfId="0" applyFont="1" applyFill="1" applyBorder="1"/>
    <xf numFmtId="0" fontId="13" fillId="49" borderId="47" xfId="0" applyFont="1" applyFill="1" applyBorder="1"/>
    <xf numFmtId="0" fontId="13" fillId="49" borderId="51" xfId="0" applyFont="1" applyFill="1" applyBorder="1"/>
    <xf numFmtId="0" fontId="13" fillId="49" borderId="52" xfId="0" applyNumberFormat="1" applyFont="1" applyFill="1" applyBorder="1"/>
    <xf numFmtId="0" fontId="0" fillId="0" borderId="0" xfId="0" applyNumberFormat="1"/>
    <xf numFmtId="0" fontId="13" fillId="49" borderId="47" xfId="0" applyNumberFormat="1" applyFont="1" applyFill="1" applyBorder="1"/>
    <xf numFmtId="0" fontId="21" fillId="0" borderId="0" xfId="0" applyFont="1" applyFill="1" applyBorder="1" applyProtection="1">
      <protection locked="0"/>
    </xf>
    <xf numFmtId="0" fontId="20" fillId="0" borderId="10" xfId="0" applyFont="1" applyFill="1" applyBorder="1" applyAlignment="1" applyProtection="1">
      <alignment horizontal="center" vertical="center"/>
      <protection locked="0"/>
    </xf>
    <xf numFmtId="0" fontId="20" fillId="6" borderId="11" xfId="0" applyFont="1" applyFill="1" applyBorder="1" applyAlignment="1" applyProtection="1">
      <alignment horizontal="center" vertical="center"/>
      <protection locked="0"/>
    </xf>
    <xf numFmtId="15" fontId="20" fillId="8" borderId="4" xfId="0" applyNumberFormat="1" applyFont="1" applyFill="1" applyBorder="1" applyAlignment="1" applyProtection="1">
      <alignment horizontal="center" vertical="center"/>
      <protection locked="0"/>
    </xf>
    <xf numFmtId="15" fontId="20" fillId="0" borderId="0" xfId="0" applyNumberFormat="1" applyFont="1" applyFill="1" applyBorder="1" applyAlignment="1" applyProtection="1">
      <alignment vertical="center"/>
      <protection locked="0"/>
    </xf>
    <xf numFmtId="0" fontId="20" fillId="0" borderId="11" xfId="0" applyFont="1" applyFill="1" applyBorder="1" applyAlignment="1" applyProtection="1">
      <alignment horizontal="center" vertical="center"/>
      <protection locked="0"/>
    </xf>
    <xf numFmtId="0" fontId="20" fillId="45" borderId="1" xfId="0" applyFont="1" applyFill="1" applyBorder="1" applyAlignment="1" applyProtection="1">
      <alignment horizontal="center" vertical="center"/>
      <protection locked="0"/>
    </xf>
    <xf numFmtId="15" fontId="20" fillId="9" borderId="4" xfId="0" applyNumberFormat="1" applyFont="1" applyFill="1" applyBorder="1" applyAlignment="1" applyProtection="1">
      <alignment horizontal="center" vertical="center"/>
      <protection locked="0"/>
    </xf>
    <xf numFmtId="0" fontId="20" fillId="0" borderId="9" xfId="0" applyFont="1" applyFill="1" applyBorder="1" applyAlignment="1" applyProtection="1">
      <alignment horizontal="center" vertical="center"/>
      <protection locked="0"/>
    </xf>
    <xf numFmtId="0" fontId="20" fillId="46" borderId="11" xfId="0" applyFont="1" applyFill="1" applyBorder="1" applyAlignment="1" applyProtection="1">
      <alignment horizontal="center" vertical="center"/>
      <protection locked="0"/>
    </xf>
    <xf numFmtId="15" fontId="20" fillId="11" borderId="4" xfId="0" applyNumberFormat="1" applyFont="1" applyFill="1" applyBorder="1" applyAlignment="1" applyProtection="1">
      <alignment horizontal="center" vertical="center"/>
      <protection locked="0"/>
    </xf>
    <xf numFmtId="0" fontId="24" fillId="0" borderId="48" xfId="0" applyFont="1" applyBorder="1" applyAlignment="1" applyProtection="1">
      <alignment horizontal="center" vertical="center"/>
      <protection locked="0"/>
    </xf>
    <xf numFmtId="0" fontId="24" fillId="0" borderId="48" xfId="0" applyFont="1" applyFill="1" applyBorder="1" applyAlignment="1" applyProtection="1">
      <alignment horizontal="center" vertical="center"/>
      <protection locked="0"/>
    </xf>
    <xf numFmtId="0" fontId="24" fillId="0" borderId="24" xfId="0" applyFont="1" applyBorder="1" applyAlignment="1" applyProtection="1">
      <alignment horizontal="center" vertical="center"/>
      <protection locked="0"/>
    </xf>
    <xf numFmtId="0" fontId="25" fillId="0" borderId="0" xfId="0" applyFont="1" applyFill="1" applyBorder="1" applyProtection="1">
      <protection locked="0"/>
    </xf>
    <xf numFmtId="165" fontId="21" fillId="0" borderId="46" xfId="0" applyNumberFormat="1" applyFont="1" applyFill="1" applyBorder="1" applyAlignment="1">
      <alignment horizontal="center" vertical="center"/>
    </xf>
    <xf numFmtId="20" fontId="21" fillId="0" borderId="0" xfId="0" applyNumberFormat="1" applyFont="1" applyFill="1" applyBorder="1" applyAlignment="1" applyProtection="1">
      <alignment horizontal="center" vertical="center"/>
      <protection locked="0"/>
    </xf>
    <xf numFmtId="165" fontId="21" fillId="0" borderId="0" xfId="0" applyNumberFormat="1" applyFont="1" applyFill="1" applyBorder="1" applyAlignment="1">
      <alignment horizontal="center" vertical="center"/>
    </xf>
    <xf numFmtId="0" fontId="21" fillId="0" borderId="0" xfId="0" applyNumberFormat="1" applyFont="1" applyFill="1" applyBorder="1" applyAlignment="1">
      <alignment horizontal="center" vertical="center"/>
    </xf>
    <xf numFmtId="1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 applyProtection="1">
      <alignment horizontal="center"/>
      <protection locked="0"/>
    </xf>
    <xf numFmtId="0" fontId="21" fillId="0" borderId="47" xfId="0" applyFont="1" applyFill="1" applyBorder="1" applyAlignment="1" applyProtection="1">
      <alignment horizontal="center" vertical="center"/>
    </xf>
    <xf numFmtId="0" fontId="21" fillId="0" borderId="0" xfId="0" applyFont="1" applyFill="1" applyProtection="1">
      <protection locked="0"/>
    </xf>
    <xf numFmtId="0" fontId="21" fillId="0" borderId="0" xfId="0" applyFont="1" applyFill="1" applyAlignment="1" applyProtection="1">
      <alignment horizontal="center"/>
      <protection locked="0"/>
    </xf>
    <xf numFmtId="0" fontId="21" fillId="0" borderId="0" xfId="0" applyFont="1" applyProtection="1">
      <protection locked="0"/>
    </xf>
    <xf numFmtId="0" fontId="21" fillId="0" borderId="0" xfId="0" applyFont="1" applyAlignment="1" applyProtection="1">
      <alignment horizontal="center"/>
      <protection locked="0"/>
    </xf>
    <xf numFmtId="165" fontId="21" fillId="47" borderId="0" xfId="0" applyNumberFormat="1" applyFont="1" applyFill="1" applyAlignment="1">
      <alignment horizontal="center" vertical="center"/>
    </xf>
    <xf numFmtId="165" fontId="27" fillId="47" borderId="0" xfId="0" applyNumberFormat="1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165" fontId="21" fillId="4" borderId="0" xfId="0" applyNumberFormat="1" applyFont="1" applyFill="1" applyAlignment="1">
      <alignment horizontal="center" vertical="center"/>
    </xf>
    <xf numFmtId="165" fontId="27" fillId="4" borderId="0" xfId="0" applyNumberFormat="1" applyFont="1" applyFill="1" applyAlignment="1">
      <alignment horizontal="center" vertical="center"/>
    </xf>
    <xf numFmtId="165" fontId="21" fillId="48" borderId="12" xfId="0" applyNumberFormat="1" applyFont="1" applyFill="1" applyBorder="1" applyAlignment="1">
      <alignment horizontal="center" vertical="center"/>
    </xf>
    <xf numFmtId="166" fontId="21" fillId="48" borderId="14" xfId="0" applyNumberFormat="1" applyFont="1" applyFill="1" applyBorder="1" applyAlignment="1">
      <alignment horizontal="center" vertical="center"/>
    </xf>
    <xf numFmtId="165" fontId="21" fillId="48" borderId="14" xfId="0" applyNumberFormat="1" applyFont="1" applyFill="1" applyBorder="1" applyAlignment="1">
      <alignment horizontal="center" vertical="center"/>
    </xf>
    <xf numFmtId="0" fontId="21" fillId="48" borderId="14" xfId="0" applyFont="1" applyFill="1" applyBorder="1" applyAlignment="1">
      <alignment horizontal="center" vertical="center"/>
    </xf>
    <xf numFmtId="1" fontId="21" fillId="48" borderId="14" xfId="0" applyNumberFormat="1" applyFont="1" applyFill="1" applyBorder="1" applyAlignment="1">
      <alignment horizontal="center" vertical="center"/>
    </xf>
    <xf numFmtId="0" fontId="21" fillId="48" borderId="16" xfId="0" applyFont="1" applyFill="1" applyBorder="1" applyAlignment="1">
      <alignment horizontal="center" vertical="center"/>
    </xf>
    <xf numFmtId="165" fontId="21" fillId="0" borderId="46" xfId="0" applyNumberFormat="1" applyFont="1" applyBorder="1" applyAlignment="1">
      <alignment horizontal="center" vertical="center"/>
    </xf>
    <xf numFmtId="20" fontId="21" fillId="44" borderId="0" xfId="0" applyNumberFormat="1" applyFont="1" applyFill="1" applyBorder="1" applyAlignment="1" applyProtection="1">
      <alignment horizontal="center" vertical="center"/>
      <protection locked="0"/>
    </xf>
    <xf numFmtId="165" fontId="21" fillId="0" borderId="0" xfId="0" applyNumberFormat="1" applyFont="1" applyBorder="1" applyAlignment="1">
      <alignment horizontal="center" vertical="center"/>
    </xf>
    <xf numFmtId="0" fontId="21" fillId="0" borderId="0" xfId="0" applyNumberFormat="1" applyFont="1" applyBorder="1" applyAlignment="1">
      <alignment horizontal="center" vertical="center"/>
    </xf>
    <xf numFmtId="1" fontId="21" fillId="0" borderId="0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0" xfId="0" applyFont="1"/>
    <xf numFmtId="0" fontId="28" fillId="0" borderId="0" xfId="0" applyFont="1" applyAlignment="1">
      <alignment horizontal="center" vertical="center"/>
    </xf>
    <xf numFmtId="165" fontId="28" fillId="0" borderId="0" xfId="0" applyNumberFormat="1" applyFont="1" applyAlignment="1">
      <alignment horizontal="center" vertical="center"/>
    </xf>
    <xf numFmtId="166" fontId="28" fillId="0" borderId="0" xfId="0" applyNumberFormat="1" applyFont="1" applyAlignment="1">
      <alignment horizontal="center" vertical="center"/>
    </xf>
    <xf numFmtId="0" fontId="28" fillId="0" borderId="0" xfId="0" applyNumberFormat="1" applyFont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0" fontId="27" fillId="0" borderId="0" xfId="0" applyFont="1"/>
    <xf numFmtId="0" fontId="27" fillId="0" borderId="17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10" fontId="27" fillId="0" borderId="20" xfId="0" applyNumberFormat="1" applyFont="1" applyFill="1" applyBorder="1" applyAlignment="1">
      <alignment horizontal="center"/>
    </xf>
    <xf numFmtId="10" fontId="27" fillId="0" borderId="21" xfId="0" applyNumberFormat="1" applyFont="1" applyFill="1" applyBorder="1" applyAlignment="1">
      <alignment horizontal="center"/>
    </xf>
    <xf numFmtId="10" fontId="27" fillId="6" borderId="22" xfId="0" applyNumberFormat="1" applyFont="1" applyFill="1" applyBorder="1" applyAlignment="1">
      <alignment horizontal="center"/>
    </xf>
    <xf numFmtId="0" fontId="27" fillId="0" borderId="23" xfId="0" applyFont="1" applyBorder="1" applyAlignment="1">
      <alignment horizontal="center"/>
    </xf>
    <xf numFmtId="0" fontId="27" fillId="0" borderId="24" xfId="0" applyFont="1" applyBorder="1" applyAlignment="1">
      <alignment horizontal="center"/>
    </xf>
    <xf numFmtId="1" fontId="27" fillId="0" borderId="25" xfId="0" applyNumberFormat="1" applyFont="1" applyBorder="1" applyAlignment="1">
      <alignment horizontal="center"/>
    </xf>
    <xf numFmtId="10" fontId="27" fillId="0" borderId="25" xfId="0" applyNumberFormat="1" applyFont="1" applyBorder="1" applyAlignment="1">
      <alignment horizontal="center"/>
    </xf>
    <xf numFmtId="0" fontId="27" fillId="0" borderId="26" xfId="0" applyNumberFormat="1" applyFont="1" applyBorder="1" applyAlignment="1">
      <alignment horizontal="center"/>
    </xf>
    <xf numFmtId="0" fontId="27" fillId="0" borderId="27" xfId="0" applyFont="1" applyBorder="1" applyAlignment="1">
      <alignment horizontal="center"/>
    </xf>
    <xf numFmtId="0" fontId="27" fillId="0" borderId="22" xfId="0" applyFont="1" applyBorder="1" applyAlignment="1">
      <alignment horizontal="center"/>
    </xf>
    <xf numFmtId="164" fontId="27" fillId="0" borderId="28" xfId="1" applyNumberFormat="1" applyFont="1" applyBorder="1" applyAlignment="1">
      <alignment horizontal="center"/>
    </xf>
    <xf numFmtId="164" fontId="27" fillId="0" borderId="21" xfId="1" applyNumberFormat="1" applyFont="1" applyBorder="1" applyAlignment="1">
      <alignment horizontal="center"/>
    </xf>
    <xf numFmtId="164" fontId="27" fillId="0" borderId="29" xfId="1" applyNumberFormat="1" applyFont="1" applyBorder="1" applyAlignment="1">
      <alignment horizontal="center"/>
    </xf>
    <xf numFmtId="0" fontId="27" fillId="0" borderId="18" xfId="0" applyFont="1" applyFill="1" applyBorder="1" applyAlignment="1">
      <alignment horizontal="center"/>
    </xf>
    <xf numFmtId="0" fontId="27" fillId="0" borderId="19" xfId="0" applyFont="1" applyFill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1" fontId="27" fillId="0" borderId="25" xfId="0" applyNumberFormat="1" applyFont="1" applyFill="1" applyBorder="1" applyAlignment="1">
      <alignment horizontal="center"/>
    </xf>
    <xf numFmtId="0" fontId="27" fillId="0" borderId="22" xfId="0" applyFont="1" applyFill="1" applyBorder="1" applyAlignment="1">
      <alignment horizontal="center"/>
    </xf>
    <xf numFmtId="0" fontId="27" fillId="0" borderId="31" xfId="0" applyFont="1" applyBorder="1" applyAlignment="1">
      <alignment horizontal="center"/>
    </xf>
    <xf numFmtId="1" fontId="27" fillId="0" borderId="4" xfId="0" applyNumberFormat="1" applyFont="1" applyFill="1" applyBorder="1" applyAlignment="1">
      <alignment horizontal="center"/>
    </xf>
    <xf numFmtId="0" fontId="27" fillId="0" borderId="30" xfId="0" applyNumberFormat="1" applyFont="1" applyBorder="1" applyAlignment="1">
      <alignment horizontal="center"/>
    </xf>
    <xf numFmtId="0" fontId="27" fillId="0" borderId="32" xfId="0" applyFont="1" applyBorder="1" applyAlignment="1">
      <alignment horizontal="center"/>
    </xf>
    <xf numFmtId="1" fontId="27" fillId="0" borderId="35" xfId="0" applyNumberFormat="1" applyFont="1" applyFill="1" applyBorder="1" applyAlignment="1">
      <alignment horizontal="center"/>
    </xf>
    <xf numFmtId="0" fontId="27" fillId="0" borderId="34" xfId="0" applyNumberFormat="1" applyFont="1" applyBorder="1" applyAlignment="1">
      <alignment horizontal="center"/>
    </xf>
    <xf numFmtId="0" fontId="27" fillId="0" borderId="32" xfId="0" applyFont="1" applyFill="1" applyBorder="1" applyAlignment="1">
      <alignment horizontal="center"/>
    </xf>
    <xf numFmtId="0" fontId="27" fillId="0" borderId="33" xfId="0" applyFont="1" applyFill="1" applyBorder="1" applyAlignment="1">
      <alignment horizontal="center"/>
    </xf>
    <xf numFmtId="0" fontId="27" fillId="0" borderId="5" xfId="0" applyFont="1" applyBorder="1" applyAlignment="1">
      <alignment horizontal="center"/>
    </xf>
    <xf numFmtId="0" fontId="27" fillId="0" borderId="12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0" fontId="27" fillId="0" borderId="16" xfId="0" applyFont="1" applyBorder="1" applyAlignment="1">
      <alignment horizontal="center"/>
    </xf>
    <xf numFmtId="10" fontId="27" fillId="0" borderId="36" xfId="0" applyNumberFormat="1" applyFont="1" applyFill="1" applyBorder="1" applyAlignment="1">
      <alignment horizontal="center"/>
    </xf>
    <xf numFmtId="10" fontId="27" fillId="0" borderId="11" xfId="0" applyNumberFormat="1" applyFont="1" applyFill="1" applyBorder="1" applyAlignment="1">
      <alignment horizontal="center"/>
    </xf>
    <xf numFmtId="10" fontId="27" fillId="0" borderId="15" xfId="0" applyNumberFormat="1" applyFont="1" applyFill="1" applyBorder="1" applyAlignment="1">
      <alignment horizontal="center"/>
    </xf>
    <xf numFmtId="1" fontId="27" fillId="0" borderId="12" xfId="0" applyNumberFormat="1" applyFont="1" applyBorder="1" applyAlignment="1">
      <alignment horizontal="center"/>
    </xf>
    <xf numFmtId="1" fontId="27" fillId="0" borderId="14" xfId="0" applyNumberFormat="1" applyFont="1" applyBorder="1" applyAlignment="1">
      <alignment horizontal="center"/>
    </xf>
    <xf numFmtId="1" fontId="27" fillId="0" borderId="15" xfId="0" applyNumberFormat="1" applyFont="1" applyBorder="1" applyAlignment="1">
      <alignment horizontal="center"/>
    </xf>
    <xf numFmtId="0" fontId="27" fillId="0" borderId="15" xfId="0" applyFont="1" applyBorder="1" applyAlignment="1">
      <alignment horizontal="center"/>
    </xf>
    <xf numFmtId="1" fontId="27" fillId="0" borderId="11" xfId="0" applyNumberFormat="1" applyFont="1" applyBorder="1" applyAlignment="1">
      <alignment horizontal="center"/>
    </xf>
    <xf numFmtId="10" fontId="27" fillId="0" borderId="11" xfId="0" applyNumberFormat="1" applyFont="1" applyBorder="1" applyAlignment="1">
      <alignment horizontal="center"/>
    </xf>
    <xf numFmtId="0" fontId="27" fillId="0" borderId="13" xfId="0" applyFont="1" applyBorder="1" applyAlignment="1">
      <alignment horizontal="center"/>
    </xf>
    <xf numFmtId="164" fontId="27" fillId="0" borderId="5" xfId="1" applyFont="1" applyBorder="1" applyAlignment="1">
      <alignment horizontal="center"/>
    </xf>
    <xf numFmtId="164" fontId="27" fillId="0" borderId="15" xfId="1" applyFont="1" applyBorder="1" applyAlignment="1">
      <alignment horizontal="center"/>
    </xf>
    <xf numFmtId="164" fontId="27" fillId="0" borderId="11" xfId="1" applyFont="1" applyBorder="1" applyAlignment="1">
      <alignment horizontal="center"/>
    </xf>
    <xf numFmtId="0" fontId="27" fillId="0" borderId="0" xfId="0" applyFont="1" applyAlignment="1">
      <alignment horizontal="center"/>
    </xf>
    <xf numFmtId="1" fontId="27" fillId="0" borderId="0" xfId="0" applyNumberFormat="1" applyFont="1" applyAlignment="1">
      <alignment horizontal="center"/>
    </xf>
    <xf numFmtId="0" fontId="27" fillId="0" borderId="0" xfId="0" applyNumberFormat="1" applyFont="1" applyAlignment="1">
      <alignment horizontal="center"/>
    </xf>
    <xf numFmtId="10" fontId="27" fillId="0" borderId="0" xfId="0" applyNumberFormat="1" applyFont="1" applyAlignment="1">
      <alignment horizontal="center"/>
    </xf>
    <xf numFmtId="164" fontId="27" fillId="0" borderId="0" xfId="0" applyNumberFormat="1" applyFont="1" applyAlignment="1">
      <alignment horizontal="center"/>
    </xf>
    <xf numFmtId="0" fontId="27" fillId="0" borderId="11" xfId="0" applyFont="1" applyBorder="1" applyAlignment="1">
      <alignment horizontal="center" vertical="center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3" xfId="0" applyFont="1" applyFill="1" applyBorder="1" applyAlignment="1">
      <alignment horizontal="center" vertical="center" wrapText="1"/>
    </xf>
    <xf numFmtId="0" fontId="27" fillId="3" borderId="14" xfId="0" applyFont="1" applyFill="1" applyBorder="1" applyAlignment="1">
      <alignment horizontal="center" vertical="center" wrapText="1"/>
    </xf>
    <xf numFmtId="0" fontId="27" fillId="3" borderId="15" xfId="0" applyFont="1" applyFill="1" applyBorder="1" applyAlignment="1">
      <alignment horizontal="center" vertical="center" wrapText="1"/>
    </xf>
    <xf numFmtId="1" fontId="27" fillId="3" borderId="11" xfId="0" applyNumberFormat="1" applyFont="1" applyFill="1" applyBorder="1" applyAlignment="1">
      <alignment horizontal="center" vertical="center" wrapText="1"/>
    </xf>
    <xf numFmtId="1" fontId="27" fillId="3" borderId="16" xfId="0" applyNumberFormat="1" applyFont="1" applyFill="1" applyBorder="1" applyAlignment="1">
      <alignment horizontal="center" vertical="center" wrapText="1"/>
    </xf>
    <xf numFmtId="1" fontId="27" fillId="3" borderId="15" xfId="0" applyNumberFormat="1" applyFont="1" applyFill="1" applyBorder="1" applyAlignment="1">
      <alignment horizontal="center" vertical="center" wrapText="1"/>
    </xf>
    <xf numFmtId="1" fontId="27" fillId="4" borderId="12" xfId="0" applyNumberFormat="1" applyFont="1" applyFill="1" applyBorder="1" applyAlignment="1">
      <alignment horizontal="center" vertical="center" wrapText="1"/>
    </xf>
    <xf numFmtId="1" fontId="27" fillId="4" borderId="14" xfId="0" applyNumberFormat="1" applyFont="1" applyFill="1" applyBorder="1" applyAlignment="1">
      <alignment horizontal="center" vertical="center" wrapText="1"/>
    </xf>
    <xf numFmtId="1" fontId="27" fillId="4" borderId="11" xfId="0" applyNumberFormat="1" applyFont="1" applyFill="1" applyBorder="1" applyAlignment="1">
      <alignment horizontal="center" vertical="center" wrapText="1"/>
    </xf>
    <xf numFmtId="1" fontId="27" fillId="4" borderId="5" xfId="0" applyNumberFormat="1" applyFont="1" applyFill="1" applyBorder="1" applyAlignment="1">
      <alignment horizontal="center" vertical="center" wrapText="1"/>
    </xf>
    <xf numFmtId="1" fontId="27" fillId="4" borderId="15" xfId="0" applyNumberFormat="1" applyFont="1" applyFill="1" applyBorder="1" applyAlignment="1">
      <alignment horizontal="center" vertical="center" wrapText="1"/>
    </xf>
    <xf numFmtId="1" fontId="27" fillId="5" borderId="5" xfId="0" applyNumberFormat="1" applyFont="1" applyFill="1" applyBorder="1" applyAlignment="1">
      <alignment horizontal="center" vertical="center" wrapText="1"/>
    </xf>
    <xf numFmtId="1" fontId="27" fillId="5" borderId="15" xfId="0" applyNumberFormat="1" applyFont="1" applyFill="1" applyBorder="1" applyAlignment="1">
      <alignment horizontal="center" vertical="center" wrapText="1"/>
    </xf>
    <xf numFmtId="1" fontId="27" fillId="5" borderId="11" xfId="0" applyNumberFormat="1" applyFont="1" applyFill="1" applyBorder="1" applyAlignment="1">
      <alignment horizontal="center" vertical="center" wrapText="1"/>
    </xf>
    <xf numFmtId="0" fontId="27" fillId="0" borderId="0" xfId="0" applyFont="1" applyBorder="1" applyAlignment="1">
      <alignment vertical="center"/>
    </xf>
    <xf numFmtId="0" fontId="0" fillId="0" borderId="0" xfId="0"/>
    <xf numFmtId="15" fontId="21" fillId="48" borderId="15" xfId="0" applyNumberFormat="1" applyFont="1" applyFill="1" applyBorder="1" applyAlignment="1">
      <alignment horizontal="center" vertical="center"/>
    </xf>
    <xf numFmtId="0" fontId="21" fillId="48" borderId="12" xfId="0" applyNumberFormat="1" applyFont="1" applyFill="1" applyBorder="1" applyAlignment="1">
      <alignment horizontal="center" vertical="center"/>
    </xf>
    <xf numFmtId="0" fontId="0" fillId="0" borderId="0" xfId="0" applyFill="1"/>
    <xf numFmtId="15" fontId="20" fillId="11" borderId="4" xfId="0" applyNumberFormat="1" applyFont="1" applyFill="1" applyBorder="1" applyAlignment="1" applyProtection="1">
      <alignment horizontal="center" vertical="center"/>
      <protection locked="0"/>
    </xf>
    <xf numFmtId="15" fontId="20" fillId="11" borderId="0" xfId="0" applyNumberFormat="1" applyFont="1" applyFill="1" applyBorder="1" applyAlignment="1" applyProtection="1">
      <alignment horizontal="center" vertical="center"/>
      <protection locked="0"/>
    </xf>
    <xf numFmtId="15" fontId="20" fillId="11" borderId="1" xfId="0" applyNumberFormat="1" applyFont="1" applyFill="1" applyBorder="1" applyAlignment="1" applyProtection="1">
      <alignment horizontal="center" vertical="center"/>
      <protection locked="0"/>
    </xf>
    <xf numFmtId="15" fontId="20" fillId="10" borderId="9" xfId="0" applyNumberFormat="1" applyFont="1" applyFill="1" applyBorder="1" applyAlignment="1" applyProtection="1">
      <alignment horizontal="center" vertical="center"/>
      <protection locked="0"/>
    </xf>
    <xf numFmtId="15" fontId="20" fillId="10" borderId="8" xfId="0" applyNumberFormat="1" applyFont="1" applyFill="1" applyBorder="1" applyAlignment="1" applyProtection="1">
      <alignment horizontal="center" vertical="center"/>
      <protection locked="0"/>
    </xf>
    <xf numFmtId="15" fontId="20" fillId="7" borderId="10" xfId="0" applyNumberFormat="1" applyFont="1" applyFill="1" applyBorder="1" applyAlignment="1" applyProtection="1">
      <alignment horizontal="center" vertical="center"/>
      <protection locked="0"/>
    </xf>
    <xf numFmtId="15" fontId="20" fillId="7" borderId="2" xfId="0" applyNumberFormat="1" applyFont="1" applyFill="1" applyBorder="1" applyAlignment="1" applyProtection="1">
      <alignment horizontal="center" vertical="center"/>
      <protection locked="0"/>
    </xf>
    <xf numFmtId="15" fontId="20" fillId="8" borderId="4" xfId="0" applyNumberFormat="1" applyFont="1" applyFill="1" applyBorder="1" applyAlignment="1" applyProtection="1">
      <alignment horizontal="center" vertical="center"/>
      <protection locked="0"/>
    </xf>
    <xf numFmtId="15" fontId="20" fillId="8" borderId="0" xfId="0" applyNumberFormat="1" applyFont="1" applyFill="1" applyBorder="1" applyAlignment="1" applyProtection="1">
      <alignment horizontal="center" vertical="center"/>
      <protection locked="0"/>
    </xf>
    <xf numFmtId="15" fontId="20" fillId="8" borderId="1" xfId="0" applyNumberFormat="1" applyFont="1" applyFill="1" applyBorder="1" applyAlignment="1" applyProtection="1">
      <alignment horizontal="center" vertical="center"/>
      <protection locked="0"/>
    </xf>
    <xf numFmtId="15" fontId="20" fillId="9" borderId="4" xfId="0" applyNumberFormat="1" applyFont="1" applyFill="1" applyBorder="1" applyAlignment="1" applyProtection="1">
      <alignment horizontal="center" vertical="center"/>
      <protection locked="0"/>
    </xf>
    <xf numFmtId="15" fontId="20" fillId="9" borderId="0" xfId="0" applyNumberFormat="1" applyFont="1" applyFill="1" applyBorder="1" applyAlignment="1" applyProtection="1">
      <alignment horizontal="center" vertical="center"/>
      <protection locked="0"/>
    </xf>
    <xf numFmtId="15" fontId="20" fillId="9" borderId="1" xfId="0" applyNumberFormat="1" applyFont="1" applyFill="1" applyBorder="1" applyAlignment="1" applyProtection="1">
      <alignment horizontal="center" vertical="center"/>
      <protection locked="0"/>
    </xf>
    <xf numFmtId="15" fontId="22" fillId="43" borderId="5" xfId="0" applyNumberFormat="1" applyFont="1" applyFill="1" applyBorder="1" applyAlignment="1" applyProtection="1">
      <alignment horizontal="center" vertical="center"/>
    </xf>
    <xf numFmtId="15" fontId="22" fillId="43" borderId="36" xfId="0" applyNumberFormat="1" applyFont="1" applyFill="1" applyBorder="1" applyAlignment="1" applyProtection="1">
      <alignment horizontal="center" vertical="center"/>
    </xf>
    <xf numFmtId="15" fontId="23" fillId="0" borderId="5" xfId="43" applyNumberFormat="1" applyFont="1" applyFill="1" applyBorder="1" applyAlignment="1" applyProtection="1">
      <alignment horizontal="center" vertical="center"/>
      <protection locked="0"/>
    </xf>
    <xf numFmtId="15" fontId="23" fillId="0" borderId="6" xfId="43" applyNumberFormat="1" applyFont="1" applyFill="1" applyBorder="1" applyAlignment="1" applyProtection="1">
      <alignment horizontal="center" vertical="center"/>
      <protection locked="0"/>
    </xf>
    <xf numFmtId="15" fontId="23" fillId="0" borderId="36" xfId="43" applyNumberFormat="1" applyFont="1" applyFill="1" applyBorder="1" applyAlignment="1" applyProtection="1">
      <alignment horizontal="center" vertical="center"/>
      <protection locked="0"/>
    </xf>
    <xf numFmtId="0" fontId="26" fillId="0" borderId="1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9" fillId="2" borderId="10" xfId="0" applyFont="1" applyFill="1" applyBorder="1" applyAlignment="1">
      <alignment horizontal="center" vertical="center"/>
    </xf>
    <xf numFmtId="0" fontId="29" fillId="2" borderId="2" xfId="0" applyFont="1" applyFill="1" applyBorder="1" applyAlignment="1">
      <alignment horizontal="center" vertical="center"/>
    </xf>
    <xf numFmtId="0" fontId="29" fillId="2" borderId="3" xfId="0" applyFont="1" applyFill="1" applyBorder="1" applyAlignment="1">
      <alignment horizontal="center" vertical="center"/>
    </xf>
    <xf numFmtId="166" fontId="26" fillId="5" borderId="49" xfId="0" applyNumberFormat="1" applyFont="1" applyFill="1" applyBorder="1" applyAlignment="1">
      <alignment horizontal="center" vertical="center" wrapText="1"/>
    </xf>
    <xf numFmtId="166" fontId="26" fillId="5" borderId="50" xfId="0" applyNumberFormat="1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4" xfId="0" applyFont="1" applyFill="1" applyBorder="1" applyAlignment="1">
      <alignment horizontal="center" vertical="center" wrapText="1"/>
    </xf>
    <xf numFmtId="1" fontId="21" fillId="47" borderId="9" xfId="0" applyNumberFormat="1" applyFont="1" applyFill="1" applyBorder="1" applyAlignment="1">
      <alignment horizontal="center" vertical="center"/>
    </xf>
    <xf numFmtId="1" fontId="21" fillId="47" borderId="8" xfId="0" applyNumberFormat="1" applyFont="1" applyFill="1" applyBorder="1" applyAlignment="1">
      <alignment horizontal="center" vertical="center"/>
    </xf>
    <xf numFmtId="1" fontId="21" fillId="47" borderId="7" xfId="0" applyNumberFormat="1" applyFont="1" applyFill="1" applyBorder="1" applyAlignment="1">
      <alignment horizontal="center" vertical="center"/>
    </xf>
    <xf numFmtId="1" fontId="21" fillId="4" borderId="4" xfId="0" applyNumberFormat="1" applyFont="1" applyFill="1" applyBorder="1" applyAlignment="1">
      <alignment horizontal="center" vertical="center"/>
    </xf>
    <xf numFmtId="1" fontId="21" fillId="4" borderId="0" xfId="0" applyNumberFormat="1" applyFont="1" applyFill="1" applyBorder="1" applyAlignment="1">
      <alignment horizontal="center" vertical="center"/>
    </xf>
    <xf numFmtId="1" fontId="21" fillId="4" borderId="1" xfId="0" applyNumberFormat="1" applyFont="1" applyFill="1" applyBorder="1" applyAlignment="1">
      <alignment horizontal="center" vertical="center"/>
    </xf>
    <xf numFmtId="1" fontId="21" fillId="47" borderId="10" xfId="0" applyNumberFormat="1" applyFont="1" applyFill="1" applyBorder="1" applyAlignment="1">
      <alignment horizontal="center" vertical="center"/>
    </xf>
    <xf numFmtId="1" fontId="21" fillId="47" borderId="2" xfId="0" applyNumberFormat="1" applyFont="1" applyFill="1" applyBorder="1" applyAlignment="1">
      <alignment horizontal="center" vertical="center"/>
    </xf>
    <xf numFmtId="1" fontId="21" fillId="47" borderId="3" xfId="0" applyNumberFormat="1" applyFont="1" applyFill="1" applyBorder="1" applyAlignment="1">
      <alignment horizontal="center" vertical="center"/>
    </xf>
  </cellXfs>
  <cellStyles count="51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1 2" xfId="45" xr:uid="{00000000-0005-0000-0000-000032000000}"/>
    <cellStyle name="60% - Accent2" xfId="26" builtinId="36" customBuiltin="1"/>
    <cellStyle name="60% - Accent2 2" xfId="46" xr:uid="{00000000-0005-0000-0000-000033000000}"/>
    <cellStyle name="60% - Accent3" xfId="30" builtinId="40" customBuiltin="1"/>
    <cellStyle name="60% - Accent3 2" xfId="47" xr:uid="{00000000-0005-0000-0000-000034000000}"/>
    <cellStyle name="60% - Accent4" xfId="34" builtinId="44" customBuiltin="1"/>
    <cellStyle name="60% - Accent4 2" xfId="48" xr:uid="{00000000-0005-0000-0000-000035000000}"/>
    <cellStyle name="60% - Accent5" xfId="38" builtinId="48" customBuiltin="1"/>
    <cellStyle name="60% - Accent5 2" xfId="49" xr:uid="{00000000-0005-0000-0000-000036000000}"/>
    <cellStyle name="60% - Accent6" xfId="42" builtinId="52" customBuiltin="1"/>
    <cellStyle name="60% - Accent6 2" xfId="50" xr:uid="{00000000-0005-0000-0000-000037000000}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eutral 2" xfId="44" xr:uid="{00000000-0005-0000-0000-000038000000}"/>
    <cellStyle name="Normal" xfId="0" builtinId="0"/>
    <cellStyle name="Note" xfId="16" builtinId="10" customBuiltin="1"/>
    <cellStyle name="Output" xfId="11" builtinId="21" customBuiltin="1"/>
    <cellStyle name="Percent 2" xfId="1" xr:uid="{00000000-0005-0000-0000-000027000000}"/>
    <cellStyle name="Title" xfId="2" builtinId="15" customBuiltin="1"/>
    <cellStyle name="Total" xfId="18" builtinId="25" customBuiltin="1"/>
    <cellStyle name="Warning Text" xfId="15" builtinId="11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border outline="0">
        <left style="thin">
          <color rgb="FF000000"/>
        </left>
        <top style="thin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Amazon Ember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 patternType="solid">
          <fgColor theme="9" tint="0.79998168889431442"/>
          <bgColor theme="9" tint="0.79998168889431442"/>
        </patternFill>
      </fill>
    </dxf>
    <dxf>
      <fill>
        <patternFill patternType="solid">
          <fgColor theme="9" tint="0.79998168889431442"/>
          <bgColor theme="9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gradientFill degree="90">
          <stop position="0">
            <color rgb="FF2B953F"/>
          </stop>
          <stop position="0.5">
            <color rgb="FF8DDF9D"/>
          </stop>
          <stop position="1">
            <color rgb="FF2B953F"/>
          </stop>
        </gradientFill>
      </fill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  <dxf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ill>
        <patternFill>
          <bgColor theme="9" tint="0.79998168889431442"/>
        </patternFill>
      </fill>
    </dxf>
  </dxfs>
  <tableStyles count="3" defaultTableStyle="TableStyleMedium2" defaultPivotStyle="PivotStyleLight16">
    <tableStyle name="Chris P Special" pivot="0" count="3" xr9:uid="{00000000-0011-0000-FFFF-FFFF00000000}">
      <tableStyleElement type="wholeTable" dxfId="55"/>
      <tableStyleElement type="headerRow" dxfId="54"/>
      <tableStyleElement type="secondRowStripe" dxfId="53"/>
    </tableStyle>
    <tableStyle name="Table Style Unique" pivot="0" count="0" xr9:uid="{00000000-0011-0000-FFFF-FFFF01000000}"/>
    <tableStyle name="TableStyleMedium7 2" pivot="0" count="7" xr9:uid="{00000000-0011-0000-FFFF-FFFF02000000}">
      <tableStyleElement type="wholeTable" dxfId="52"/>
      <tableStyleElement type="headerRow" dxfId="51"/>
      <tableStyleElement type="totalRow" dxfId="50"/>
      <tableStyleElement type="firstColumn" dxfId="49"/>
      <tableStyleElement type="lastColumn" dxfId="48"/>
      <tableStyleElement type="firstRowStripe" dxfId="47"/>
      <tableStyleElement type="firstColumnStripe" dxfId="46"/>
    </tableStyle>
  </tableStyles>
  <colors>
    <mruColors>
      <color rgb="FF13451D"/>
      <color rgb="FF237B34"/>
      <color rgb="FFFF6600"/>
      <color rgb="FF58D06F"/>
      <color rgb="FFFF843F"/>
      <color rgb="FF008000"/>
      <color rgb="FF8DDF9D"/>
      <color rgb="FF2B953F"/>
      <color rgb="FF16EE5E"/>
      <color rgb="FF32B4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509929</xdr:colOff>
      <xdr:row>0</xdr:row>
      <xdr:rowOff>81643</xdr:rowOff>
    </xdr:from>
    <xdr:to>
      <xdr:col>5</xdr:col>
      <xdr:colOff>530905</xdr:colOff>
      <xdr:row>4</xdr:row>
      <xdr:rowOff>96920</xdr:rowOff>
    </xdr:to>
    <xdr:pic macro="[0]!MsgBox1">
      <xdr:nvPicPr>
        <xdr:cNvPr id="2" name="Picture 1">
          <a:extLst>
            <a:ext uri="{FF2B5EF4-FFF2-40B4-BE49-F238E27FC236}">
              <a16:creationId xmlns:a16="http://schemas.microsoft.com/office/drawing/2014/main" id="{BA625A96-BB33-435F-9E4E-04DA0C981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5129" y="81643"/>
          <a:ext cx="2478426" cy="814016"/>
        </a:xfrm>
        <a:prstGeom prst="roundRect">
          <a:avLst>
            <a:gd name="adj" fmla="val 16667"/>
          </a:avLst>
        </a:prstGeom>
        <a:ln w="31750">
          <a:solidFill>
            <a:schemeClr val="tx1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13</xdr:col>
      <xdr:colOff>813254</xdr:colOff>
      <xdr:row>0</xdr:row>
      <xdr:rowOff>78343</xdr:rowOff>
    </xdr:from>
    <xdr:to>
      <xdr:col>15</xdr:col>
      <xdr:colOff>50347</xdr:colOff>
      <xdr:row>4</xdr:row>
      <xdr:rowOff>116925</xdr:rowOff>
    </xdr:to>
    <xdr:pic macro="[0]!RaiseSim">
      <xdr:nvPicPr>
        <xdr:cNvPr id="3" name="Picture 2">
          <a:extLst>
            <a:ext uri="{FF2B5EF4-FFF2-40B4-BE49-F238E27FC236}">
              <a16:creationId xmlns:a16="http://schemas.microsoft.com/office/drawing/2014/main" id="{CC0B801F-42A3-4E9F-9290-BB72DB2C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34354" y="78343"/>
          <a:ext cx="2405743" cy="837321"/>
        </a:xfrm>
        <a:prstGeom prst="roundRect">
          <a:avLst>
            <a:gd name="adj" fmla="val 16667"/>
          </a:avLst>
        </a:prstGeom>
        <a:ln w="19050">
          <a:solidFill>
            <a:schemeClr val="tx1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0</xdr:col>
      <xdr:colOff>476250</xdr:colOff>
      <xdr:row>0</xdr:row>
      <xdr:rowOff>81643</xdr:rowOff>
    </xdr:from>
    <xdr:to>
      <xdr:col>2</xdr:col>
      <xdr:colOff>1001174</xdr:colOff>
      <xdr:row>4</xdr:row>
      <xdr:rowOff>57943</xdr:rowOff>
    </xdr:to>
    <xdr:pic macro="[0]!RefreshRoster">
      <xdr:nvPicPr>
        <xdr:cNvPr id="4" name="Picture 3">
          <a:extLst>
            <a:ext uri="{FF2B5EF4-FFF2-40B4-BE49-F238E27FC236}">
              <a16:creationId xmlns:a16="http://schemas.microsoft.com/office/drawing/2014/main" id="{BC07577F-F593-481C-8CBA-27E3C7FD6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" y="81643"/>
          <a:ext cx="2864899" cy="775039"/>
        </a:xfrm>
        <a:prstGeom prst="roundRect">
          <a:avLst>
            <a:gd name="adj" fmla="val 16667"/>
          </a:avLst>
        </a:prstGeom>
        <a:ln w="25400">
          <a:solidFill>
            <a:srgbClr val="58D06F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865981</xdr:colOff>
      <xdr:row>0</xdr:row>
      <xdr:rowOff>50795</xdr:rowOff>
    </xdr:from>
    <xdr:to>
      <xdr:col>11</xdr:col>
      <xdr:colOff>583408</xdr:colOff>
      <xdr:row>2</xdr:row>
      <xdr:rowOff>159512</xdr:rowOff>
    </xdr:to>
    <xdr:pic macro="[0]!Export">
      <xdr:nvPicPr>
        <xdr:cNvPr id="15" name="Picture 14">
          <a:extLst>
            <a:ext uri="{FF2B5EF4-FFF2-40B4-BE49-F238E27FC236}">
              <a16:creationId xmlns:a16="http://schemas.microsoft.com/office/drawing/2014/main" id="{B60338B6-C638-477A-AAB9-6EEEC6733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93825" y="50795"/>
          <a:ext cx="2163764" cy="513530"/>
        </a:xfrm>
        <a:prstGeom prst="roundRect">
          <a:avLst>
            <a:gd name="adj" fmla="val 16667"/>
          </a:avLst>
        </a:prstGeom>
        <a:ln w="28575">
          <a:solidFill>
            <a:schemeClr val="tx1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</xdr:col>
      <xdr:colOff>71437</xdr:colOff>
      <xdr:row>1</xdr:row>
      <xdr:rowOff>107158</xdr:rowOff>
    </xdr:from>
    <xdr:to>
      <xdr:col>1</xdr:col>
      <xdr:colOff>250031</xdr:colOff>
      <xdr:row>2</xdr:row>
      <xdr:rowOff>119063</xdr:rowOff>
    </xdr:to>
    <xdr:sp macro="" textlink="">
      <xdr:nvSpPr>
        <xdr:cNvPr id="16" name="Arrow: Down 15">
          <a:extLst>
            <a:ext uri="{FF2B5EF4-FFF2-40B4-BE49-F238E27FC236}">
              <a16:creationId xmlns:a16="http://schemas.microsoft.com/office/drawing/2014/main" id="{3BF09F55-E47D-47FD-AE97-BAD3E991E993}"/>
            </a:ext>
          </a:extLst>
        </xdr:cNvPr>
        <xdr:cNvSpPr/>
      </xdr:nvSpPr>
      <xdr:spPr>
        <a:xfrm>
          <a:off x="1238250" y="309564"/>
          <a:ext cx="178594" cy="214312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902493</xdr:colOff>
      <xdr:row>1</xdr:row>
      <xdr:rowOff>116683</xdr:rowOff>
    </xdr:from>
    <xdr:to>
      <xdr:col>1</xdr:col>
      <xdr:colOff>1081087</xdr:colOff>
      <xdr:row>2</xdr:row>
      <xdr:rowOff>128588</xdr:rowOff>
    </xdr:to>
    <xdr:sp macro="" textlink="">
      <xdr:nvSpPr>
        <xdr:cNvPr id="18" name="Arrow: Down 17">
          <a:extLst>
            <a:ext uri="{FF2B5EF4-FFF2-40B4-BE49-F238E27FC236}">
              <a16:creationId xmlns:a16="http://schemas.microsoft.com/office/drawing/2014/main" id="{23C000B8-1F64-4CFC-801D-130CA31CD013}"/>
            </a:ext>
          </a:extLst>
        </xdr:cNvPr>
        <xdr:cNvSpPr/>
      </xdr:nvSpPr>
      <xdr:spPr>
        <a:xfrm>
          <a:off x="2069306" y="319089"/>
          <a:ext cx="178594" cy="214312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71437</xdr:colOff>
      <xdr:row>1</xdr:row>
      <xdr:rowOff>107158</xdr:rowOff>
    </xdr:from>
    <xdr:to>
      <xdr:col>3</xdr:col>
      <xdr:colOff>250031</xdr:colOff>
      <xdr:row>2</xdr:row>
      <xdr:rowOff>119063</xdr:rowOff>
    </xdr:to>
    <xdr:sp macro="" textlink="">
      <xdr:nvSpPr>
        <xdr:cNvPr id="26" name="Arrow: Down 25">
          <a:extLst>
            <a:ext uri="{FF2B5EF4-FFF2-40B4-BE49-F238E27FC236}">
              <a16:creationId xmlns:a16="http://schemas.microsoft.com/office/drawing/2014/main" id="{032BDC55-E6B8-431D-8AD7-176CCC7CB037}"/>
            </a:ext>
          </a:extLst>
        </xdr:cNvPr>
        <xdr:cNvSpPr/>
      </xdr:nvSpPr>
      <xdr:spPr>
        <a:xfrm>
          <a:off x="1238250" y="309564"/>
          <a:ext cx="178594" cy="214312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902493</xdr:colOff>
      <xdr:row>1</xdr:row>
      <xdr:rowOff>116683</xdr:rowOff>
    </xdr:from>
    <xdr:to>
      <xdr:col>3</xdr:col>
      <xdr:colOff>1081087</xdr:colOff>
      <xdr:row>2</xdr:row>
      <xdr:rowOff>128588</xdr:rowOff>
    </xdr:to>
    <xdr:sp macro="" textlink="">
      <xdr:nvSpPr>
        <xdr:cNvPr id="27" name="Arrow: Down 26">
          <a:extLst>
            <a:ext uri="{FF2B5EF4-FFF2-40B4-BE49-F238E27FC236}">
              <a16:creationId xmlns:a16="http://schemas.microsoft.com/office/drawing/2014/main" id="{CA0C57BC-FE1F-4733-A234-A124C0185465}"/>
            </a:ext>
          </a:extLst>
        </xdr:cNvPr>
        <xdr:cNvSpPr/>
      </xdr:nvSpPr>
      <xdr:spPr>
        <a:xfrm>
          <a:off x="2069306" y="319089"/>
          <a:ext cx="178594" cy="214312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5</xdr:col>
      <xdr:colOff>690562</xdr:colOff>
      <xdr:row>0</xdr:row>
      <xdr:rowOff>62312</xdr:rowOff>
    </xdr:from>
    <xdr:to>
      <xdr:col>6</xdr:col>
      <xdr:colOff>1401763</xdr:colOff>
      <xdr:row>2</xdr:row>
      <xdr:rowOff>177998</xdr:rowOff>
    </xdr:to>
    <xdr:pic macro="[0]!Refresh">
      <xdr:nvPicPr>
        <xdr:cNvPr id="4" name="Picture 3">
          <a:extLst>
            <a:ext uri="{FF2B5EF4-FFF2-40B4-BE49-F238E27FC236}">
              <a16:creationId xmlns:a16="http://schemas.microsoft.com/office/drawing/2014/main" id="{F8AA5FE1-F2D1-4B1E-B85A-89BC7F18F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3718" y="62312"/>
          <a:ext cx="2166939" cy="517324"/>
        </a:xfrm>
        <a:prstGeom prst="roundRect">
          <a:avLst>
            <a:gd name="adj" fmla="val 16667"/>
          </a:avLst>
        </a:prstGeom>
        <a:ln w="25400">
          <a:solidFill>
            <a:schemeClr val="tx1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7</xdr:col>
      <xdr:colOff>1215231</xdr:colOff>
      <xdr:row>0</xdr:row>
      <xdr:rowOff>44451</xdr:rowOff>
    </xdr:from>
    <xdr:to>
      <xdr:col>8</xdr:col>
      <xdr:colOff>806450</xdr:colOff>
      <xdr:row>2</xdr:row>
      <xdr:rowOff>162779</xdr:rowOff>
    </xdr:to>
    <xdr:pic macro="[0]!GetBadges">
      <xdr:nvPicPr>
        <xdr:cNvPr id="13" name="Picture 12">
          <a:extLst>
            <a:ext uri="{FF2B5EF4-FFF2-40B4-BE49-F238E27FC236}">
              <a16:creationId xmlns:a16="http://schemas.microsoft.com/office/drawing/2014/main" id="{146F413E-7973-4231-9A8F-C93079088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23575" y="44451"/>
          <a:ext cx="1990725" cy="523141"/>
        </a:xfrm>
        <a:prstGeom prst="roundRect">
          <a:avLst>
            <a:gd name="adj" fmla="val 16667"/>
          </a:avLst>
        </a:prstGeom>
        <a:ln w="38100">
          <a:solidFill>
            <a:srgbClr val="13451D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</xdr:col>
      <xdr:colOff>71437</xdr:colOff>
      <xdr:row>1</xdr:row>
      <xdr:rowOff>107158</xdr:rowOff>
    </xdr:from>
    <xdr:to>
      <xdr:col>1</xdr:col>
      <xdr:colOff>250031</xdr:colOff>
      <xdr:row>2</xdr:row>
      <xdr:rowOff>119063</xdr:rowOff>
    </xdr:to>
    <xdr:sp macro="" textlink="">
      <xdr:nvSpPr>
        <xdr:cNvPr id="10" name="Arrow: Down 9">
          <a:extLst>
            <a:ext uri="{FF2B5EF4-FFF2-40B4-BE49-F238E27FC236}">
              <a16:creationId xmlns:a16="http://schemas.microsoft.com/office/drawing/2014/main" id="{0B4CB1E7-C051-4859-9EB0-D17A933C8366}"/>
            </a:ext>
          </a:extLst>
        </xdr:cNvPr>
        <xdr:cNvSpPr/>
      </xdr:nvSpPr>
      <xdr:spPr>
        <a:xfrm>
          <a:off x="1296987" y="304008"/>
          <a:ext cx="178594" cy="21510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902493</xdr:colOff>
      <xdr:row>1</xdr:row>
      <xdr:rowOff>116683</xdr:rowOff>
    </xdr:from>
    <xdr:to>
      <xdr:col>1</xdr:col>
      <xdr:colOff>1081087</xdr:colOff>
      <xdr:row>2</xdr:row>
      <xdr:rowOff>128588</xdr:rowOff>
    </xdr:to>
    <xdr:sp macro="" textlink="">
      <xdr:nvSpPr>
        <xdr:cNvPr id="11" name="Arrow: Down 10">
          <a:extLst>
            <a:ext uri="{FF2B5EF4-FFF2-40B4-BE49-F238E27FC236}">
              <a16:creationId xmlns:a16="http://schemas.microsoft.com/office/drawing/2014/main" id="{BB8EED74-6583-4F40-972F-21D2E3E13283}"/>
            </a:ext>
          </a:extLst>
        </xdr:cNvPr>
        <xdr:cNvSpPr/>
      </xdr:nvSpPr>
      <xdr:spPr>
        <a:xfrm>
          <a:off x="2128043" y="313533"/>
          <a:ext cx="178594" cy="21510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71437</xdr:colOff>
      <xdr:row>1</xdr:row>
      <xdr:rowOff>107158</xdr:rowOff>
    </xdr:from>
    <xdr:to>
      <xdr:col>3</xdr:col>
      <xdr:colOff>250031</xdr:colOff>
      <xdr:row>2</xdr:row>
      <xdr:rowOff>119063</xdr:rowOff>
    </xdr:to>
    <xdr:sp macro="" textlink="">
      <xdr:nvSpPr>
        <xdr:cNvPr id="12" name="Arrow: Down 11">
          <a:extLst>
            <a:ext uri="{FF2B5EF4-FFF2-40B4-BE49-F238E27FC236}">
              <a16:creationId xmlns:a16="http://schemas.microsoft.com/office/drawing/2014/main" id="{E743BC57-6FC9-4945-B66D-954AB11F92F5}"/>
            </a:ext>
          </a:extLst>
        </xdr:cNvPr>
        <xdr:cNvSpPr/>
      </xdr:nvSpPr>
      <xdr:spPr>
        <a:xfrm>
          <a:off x="3779837" y="304008"/>
          <a:ext cx="178594" cy="21510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902493</xdr:colOff>
      <xdr:row>1</xdr:row>
      <xdr:rowOff>116683</xdr:rowOff>
    </xdr:from>
    <xdr:to>
      <xdr:col>3</xdr:col>
      <xdr:colOff>1081087</xdr:colOff>
      <xdr:row>2</xdr:row>
      <xdr:rowOff>128588</xdr:rowOff>
    </xdr:to>
    <xdr:sp macro="" textlink="">
      <xdr:nvSpPr>
        <xdr:cNvPr id="14" name="Arrow: Down 13">
          <a:extLst>
            <a:ext uri="{FF2B5EF4-FFF2-40B4-BE49-F238E27FC236}">
              <a16:creationId xmlns:a16="http://schemas.microsoft.com/office/drawing/2014/main" id="{EBFF79EA-6F9D-4ABE-A479-F37C8F513C71}"/>
            </a:ext>
          </a:extLst>
        </xdr:cNvPr>
        <xdr:cNvSpPr/>
      </xdr:nvSpPr>
      <xdr:spPr>
        <a:xfrm>
          <a:off x="4610893" y="313533"/>
          <a:ext cx="178594" cy="21510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t\dept-eu\MAN3\Day%20One\DZ%20Hours%20Report\WK4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K1"/>
      <sheetName val="Scheduled Hours"/>
      <sheetName val="Roster"/>
    </sheetNames>
    <sheetDataSet>
      <sheetData sheetId="0">
        <row r="1">
          <cell r="C1" t="str">
            <v>Day 1 Date</v>
          </cell>
        </row>
        <row r="2">
          <cell r="C2">
            <v>44148</v>
          </cell>
        </row>
        <row r="3">
          <cell r="C3">
            <v>44147</v>
          </cell>
        </row>
        <row r="4">
          <cell r="C4">
            <v>44147</v>
          </cell>
        </row>
        <row r="5">
          <cell r="C5">
            <v>44147</v>
          </cell>
        </row>
        <row r="6">
          <cell r="C6">
            <v>44147</v>
          </cell>
        </row>
        <row r="7">
          <cell r="C7">
            <v>44147</v>
          </cell>
        </row>
        <row r="8">
          <cell r="C8">
            <v>44147</v>
          </cell>
        </row>
        <row r="9">
          <cell r="C9">
            <v>44148</v>
          </cell>
        </row>
        <row r="10">
          <cell r="C10">
            <v>44147</v>
          </cell>
        </row>
        <row r="11">
          <cell r="C11">
            <v>44148</v>
          </cell>
        </row>
        <row r="12">
          <cell r="C12">
            <v>44148</v>
          </cell>
        </row>
        <row r="13">
          <cell r="C13">
            <v>44148</v>
          </cell>
        </row>
        <row r="14">
          <cell r="C14">
            <v>44146</v>
          </cell>
        </row>
        <row r="15">
          <cell r="C15">
            <v>44146</v>
          </cell>
        </row>
        <row r="16">
          <cell r="C16">
            <v>44146</v>
          </cell>
        </row>
        <row r="17">
          <cell r="C17">
            <v>44146</v>
          </cell>
        </row>
        <row r="18">
          <cell r="C18">
            <v>44146</v>
          </cell>
        </row>
        <row r="19">
          <cell r="C19">
            <v>44145</v>
          </cell>
        </row>
        <row r="20">
          <cell r="C20">
            <v>44145</v>
          </cell>
        </row>
        <row r="21">
          <cell r="C21">
            <v>44145</v>
          </cell>
        </row>
        <row r="22">
          <cell r="C22">
            <v>44145</v>
          </cell>
        </row>
        <row r="23">
          <cell r="C23">
            <v>44145</v>
          </cell>
        </row>
        <row r="24">
          <cell r="C24">
            <v>44145</v>
          </cell>
        </row>
        <row r="25">
          <cell r="C25">
            <v>44145</v>
          </cell>
        </row>
        <row r="26">
          <cell r="C26">
            <v>44146</v>
          </cell>
        </row>
        <row r="27">
          <cell r="C27">
            <v>44146</v>
          </cell>
        </row>
        <row r="28">
          <cell r="C28">
            <v>44146</v>
          </cell>
        </row>
        <row r="29">
          <cell r="C29">
            <v>44146</v>
          </cell>
        </row>
        <row r="30">
          <cell r="C30">
            <v>44146</v>
          </cell>
        </row>
        <row r="31">
          <cell r="C31">
            <v>44146</v>
          </cell>
        </row>
        <row r="32">
          <cell r="C32">
            <v>44146</v>
          </cell>
        </row>
        <row r="33">
          <cell r="C33">
            <v>44146</v>
          </cell>
        </row>
        <row r="34">
          <cell r="C34">
            <v>44146</v>
          </cell>
        </row>
        <row r="35">
          <cell r="C35">
            <v>44146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1BE247-AFA0-44BD-BC4B-7C126397AF15}" name="Table3362" displayName="Table3362" ref="A6:S7" totalsRowShown="0" headerRowDxfId="36" dataDxfId="34" headerRowBorderDxfId="35" tableBorderDxfId="33">
  <autoFilter ref="A6:S7" xr:uid="{6BCDCAE1-8F31-4DDF-A4C9-F16F09970EC3}"/>
  <tableColumns count="19">
    <tableColumn id="1" xr3:uid="{937CB3F8-0058-4AA3-8367-BE6E67BA9E0A}" name="Day 0 Date" dataDxfId="32"/>
    <tableColumn id="2" xr3:uid="{B76C5C4B-7615-4E1C-97C3-A87A9AEC125D}" name="Day 0 Time" dataDxfId="31"/>
    <tableColumn id="3" xr3:uid="{9374C86F-899D-4D0E-9C80-4100ACBD42AF}" name="Day 1 Date" dataDxfId="30"/>
    <tableColumn id="4" xr3:uid="{E07D1500-9D3F-4891-8BE8-D6C54D602487}" name="Day 1 Time" dataDxfId="29"/>
    <tableColumn id="5" xr3:uid="{18129BE2-CB72-4E65-B98B-2CB54977AF26}" name="Employee ID" dataDxfId="28"/>
    <tableColumn id="6" xr3:uid="{E2A3009C-0E2C-46AE-A11C-B32F3EB28156}" name="Badge ID" dataDxfId="27">
      <calculatedColumnFormula>_xlfn.IFNA(VLOOKUP(E7,Roster!B:C,2,FALSE),"")</calculatedColumnFormula>
    </tableColumn>
    <tableColumn id="8" xr3:uid="{515EE4AA-B949-45F1-8158-F635506E0845}" name="First Name" dataDxfId="26"/>
    <tableColumn id="9" xr3:uid="{1805E6F1-BF96-4719-AEEA-9DB5DA34BEAA}" name="Last Name" dataDxfId="25"/>
    <tableColumn id="10" xr3:uid="{CC135E9A-E0AA-4202-976F-DF005DD04ABB}" name="Manager" dataDxfId="24"/>
    <tableColumn id="11" xr3:uid="{B34E1BE1-8251-4DDD-AEE8-4AEE1984CE41}" name="Shift" dataDxfId="23"/>
    <tableColumn id="12" xr3:uid="{EDA3754C-527C-41CB-9B1D-936345C4498A}" name="Department" dataDxfId="22"/>
    <tableColumn id="15" xr3:uid="{5258FF38-2006-4492-8B1A-A1DEFFCE446E}" name="Process" dataDxfId="21"/>
    <tableColumn id="17" xr3:uid="{8D29D7D5-0191-42FE-A225-5710C7C3254B}" name="Day 0 Attendance" dataDxfId="20"/>
    <tableColumn id="20" xr3:uid="{8917BDBD-ED56-49ED-981D-400E2AAE50FF}" name="Day 1 Attendance" dataDxfId="19"/>
    <tableColumn id="19" xr3:uid="{C079F65A-979A-4639-8D56-3212E41E1810}" name="Reason for No Show" dataDxfId="18"/>
    <tableColumn id="14" xr3:uid="{56B028CE-0CED-4D36-AA75-A0E5C4F76B44}" name="Other Comments" dataDxfId="17"/>
    <tableColumn id="16" xr3:uid="{7FC4F4CC-2309-4D77-B6E3-DD18BC7DBEB0}" name="Active" dataDxfId="16">
      <calculatedColumnFormula>_xlfn.IFNA(IF(VLOOKUP(E7,Roster!B:I,8,0)&gt;0,"Active"),"N")</calculatedColumnFormula>
    </tableColumn>
    <tableColumn id="18" xr3:uid="{713B0D90-639D-4F82-9657-4DB46E99F370}" name="DZ Hours Coded" dataDxfId="15">
      <calculatedColumnFormula array="1">_xlfn.IFNA(INDEX('New Hire Hours'!$A:$I,MATCH(1,('New Hire Hours'!$A:$A=E7)*('New Hire Hours'!$B:$B=A7),0),4),"N")</calculatedColumnFormula>
    </tableColumn>
    <tableColumn id="7" xr3:uid="{2D64C842-D9BF-46C4-B085-C568C23DF4C2}" name="Day 1 punch Added" dataDxfId="14">
      <calculatedColumnFormula array="1">_xlfn.IFNA(INDEX('New Hire Hours'!$A:$I,MATCH(1,('New Hire Hours'!$A:$A=E7)*('New Hire Hours'!$B:$B=C7),0),4),"N")</calculatedColumnFormula>
    </tableColumn>
  </tableColumns>
  <tableStyleInfo name="TableStyleMedium7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F294-B87D-44E1-A377-C2EFCA9C7D72}">
  <sheetPr codeName="Sheet24"/>
  <dimension ref="A1:AD7"/>
  <sheetViews>
    <sheetView zoomScale="70" zoomScaleNormal="70" workbookViewId="0">
      <selection activeCell="A9" sqref="A8:A9"/>
    </sheetView>
  </sheetViews>
  <sheetFormatPr defaultColWidth="0" defaultRowHeight="14.5" x14ac:dyDescent="0.35"/>
  <cols>
    <col min="1" max="1" width="17.453125" style="32" customWidth="1"/>
    <col min="2" max="2" width="17.81640625" style="32" bestFit="1" customWidth="1"/>
    <col min="3" max="3" width="17.453125" style="32" bestFit="1" customWidth="1"/>
    <col min="4" max="4" width="17.81640625" style="32" bestFit="1" customWidth="1"/>
    <col min="5" max="5" width="19.1796875" style="33" bestFit="1" customWidth="1"/>
    <col min="6" max="6" width="15.1796875" style="32" bestFit="1" customWidth="1"/>
    <col min="7" max="7" width="20.453125" style="32" customWidth="1"/>
    <col min="8" max="8" width="20" style="32" customWidth="1"/>
    <col min="9" max="9" width="24.1796875" style="32" customWidth="1"/>
    <col min="10" max="10" width="17.1796875" style="32" customWidth="1"/>
    <col min="11" max="11" width="18.81640625" style="32" customWidth="1"/>
    <col min="12" max="12" width="19.1796875" style="32" customWidth="1"/>
    <col min="13" max="13" width="21.54296875" style="32" customWidth="1"/>
    <col min="14" max="14" width="20.81640625" style="32" customWidth="1"/>
    <col min="15" max="15" width="26.81640625" style="32" customWidth="1"/>
    <col min="16" max="16" width="26.1796875" style="32" customWidth="1"/>
    <col min="17" max="17" width="22.1796875" style="34" bestFit="1" customWidth="1"/>
    <col min="18" max="18" width="18.81640625" style="35" customWidth="1"/>
    <col min="19" max="19" width="26.1796875" style="30" customWidth="1"/>
    <col min="20" max="26" width="24.54296875" style="9" hidden="1" customWidth="1"/>
    <col min="27" max="27" width="9.81640625" style="9" hidden="1" customWidth="1"/>
    <col min="28" max="28" width="8.453125" style="9" hidden="1" customWidth="1"/>
    <col min="29" max="30" width="10.1796875" style="9" hidden="1" customWidth="1"/>
    <col min="31" max="16384" width="24.54296875" style="9" hidden="1"/>
  </cols>
  <sheetData>
    <row r="1" spans="1:19" ht="15" thickBot="1" x14ac:dyDescent="0.4">
      <c r="A1" s="136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</row>
    <row r="2" spans="1:19" s="13" customFormat="1" ht="15" thickBot="1" x14ac:dyDescent="0.4">
      <c r="A2" s="138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0"/>
      <c r="Q2" s="10" t="s">
        <v>45</v>
      </c>
      <c r="R2" s="11" t="s">
        <v>46</v>
      </c>
      <c r="S2" s="12"/>
    </row>
    <row r="3" spans="1:19" s="13" customFormat="1" ht="15" thickBot="1" x14ac:dyDescent="0.4">
      <c r="A3" s="141"/>
      <c r="B3" s="142"/>
      <c r="C3" s="142"/>
      <c r="D3" s="142"/>
      <c r="E3" s="142"/>
      <c r="F3" s="143"/>
      <c r="G3" s="144" t="s">
        <v>43</v>
      </c>
      <c r="H3" s="145"/>
      <c r="I3" s="146"/>
      <c r="J3" s="147"/>
      <c r="K3" s="147"/>
      <c r="L3" s="147"/>
      <c r="M3" s="148"/>
      <c r="N3" s="141"/>
      <c r="O3" s="142"/>
      <c r="P3" s="143"/>
      <c r="Q3" s="14" t="s">
        <v>47</v>
      </c>
      <c r="R3" s="15" t="s">
        <v>48</v>
      </c>
      <c r="S3" s="16"/>
    </row>
    <row r="4" spans="1:19" s="13" customFormat="1" ht="15" customHeight="1" thickBot="1" x14ac:dyDescent="0.4">
      <c r="A4" s="131"/>
      <c r="B4" s="132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3"/>
      <c r="Q4" s="17" t="s">
        <v>50</v>
      </c>
      <c r="R4" s="18" t="s">
        <v>49</v>
      </c>
      <c r="S4" s="19"/>
    </row>
    <row r="5" spans="1:19" s="13" customFormat="1" ht="15" customHeight="1" thickBot="1" x14ac:dyDescent="0.4">
      <c r="A5" s="134"/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</row>
    <row r="6" spans="1:19" s="23" customFormat="1" ht="16" x14ac:dyDescent="0.4">
      <c r="A6" s="20" t="s">
        <v>29</v>
      </c>
      <c r="B6" s="20" t="s">
        <v>30</v>
      </c>
      <c r="C6" s="20" t="s">
        <v>31</v>
      </c>
      <c r="D6" s="20" t="s">
        <v>32</v>
      </c>
      <c r="E6" s="20" t="s">
        <v>33</v>
      </c>
      <c r="F6" s="20" t="s">
        <v>34</v>
      </c>
      <c r="G6" s="21" t="s">
        <v>44</v>
      </c>
      <c r="H6" s="20" t="s">
        <v>35</v>
      </c>
      <c r="I6" s="20" t="s">
        <v>36</v>
      </c>
      <c r="J6" s="20" t="s">
        <v>28</v>
      </c>
      <c r="K6" s="20" t="s">
        <v>56</v>
      </c>
      <c r="L6" s="20" t="s">
        <v>57</v>
      </c>
      <c r="M6" s="22" t="s">
        <v>37</v>
      </c>
      <c r="N6" s="22" t="s">
        <v>38</v>
      </c>
      <c r="O6" s="22" t="s">
        <v>42</v>
      </c>
      <c r="P6" s="22" t="s">
        <v>59</v>
      </c>
      <c r="Q6" s="22" t="s">
        <v>39</v>
      </c>
      <c r="R6" s="22" t="s">
        <v>40</v>
      </c>
      <c r="S6" s="22" t="s">
        <v>41</v>
      </c>
    </row>
    <row r="7" spans="1:19" x14ac:dyDescent="0.35">
      <c r="A7" s="24"/>
      <c r="B7" s="25"/>
      <c r="C7" s="26"/>
      <c r="D7" s="25"/>
      <c r="E7" s="27" t="s">
        <v>60</v>
      </c>
      <c r="F7" s="28" t="str">
        <f>_xlfn.IFNA(VLOOKUP(E7,Roster!B:C,2,FALSE),"")</f>
        <v/>
      </c>
      <c r="G7" s="26"/>
      <c r="H7" s="26"/>
      <c r="I7" s="26"/>
      <c r="J7" s="26"/>
      <c r="K7" s="28"/>
      <c r="L7" s="28"/>
      <c r="M7" s="29" t="s">
        <v>61</v>
      </c>
      <c r="N7" s="29" t="s">
        <v>62</v>
      </c>
      <c r="O7" s="29"/>
      <c r="P7" s="30"/>
      <c r="Q7" s="31" t="str">
        <f>_xlfn.IFNA(IF(VLOOKUP(E7,Roster!B:I,8,0)&gt;0,"Active"),"N")</f>
        <v>N</v>
      </c>
      <c r="R7" s="30" t="str">
        <f t="array" ref="R7">_xlfn.IFNA(INDEX('New Hire Hours'!$A:$I,MATCH(1,('New Hire Hours'!$A:$A=E7)*('New Hire Hours'!$B:$B=A7),0),4),"N")</f>
        <v>N</v>
      </c>
      <c r="S7" s="30" t="str">
        <f t="array" ref="S7">_xlfn.IFNA(INDEX('New Hire Hours'!$A:$I,MATCH(1,('New Hire Hours'!$A:$A=E7)*('New Hire Hours'!$B:$B=C7),0),4),"N")</f>
        <v>N</v>
      </c>
    </row>
  </sheetData>
  <mergeCells count="8">
    <mergeCell ref="A4:P4"/>
    <mergeCell ref="A5:S5"/>
    <mergeCell ref="A1:S1"/>
    <mergeCell ref="A2:P2"/>
    <mergeCell ref="A3:F3"/>
    <mergeCell ref="G3:H3"/>
    <mergeCell ref="I3:M3"/>
    <mergeCell ref="N3:P3"/>
  </mergeCells>
  <conditionalFormatting sqref="E7:E1000">
    <cfRule type="duplicateValues" dxfId="45" priority="9"/>
  </conditionalFormatting>
  <conditionalFormatting sqref="Q7:Q1000">
    <cfRule type="cellIs" dxfId="44" priority="8" stopIfTrue="1" operator="equal">
      <formula>"Active"</formula>
    </cfRule>
  </conditionalFormatting>
  <conditionalFormatting sqref="R7:R1000">
    <cfRule type="cellIs" dxfId="43" priority="6" stopIfTrue="1" operator="greaterThanOrEqual">
      <formula>3.5</formula>
    </cfRule>
    <cfRule type="cellIs" dxfId="42" priority="7" stopIfTrue="1" operator="between">
      <formula>0.1</formula>
      <formula>3.5</formula>
    </cfRule>
  </conditionalFormatting>
  <conditionalFormatting sqref="S7:S1000">
    <cfRule type="cellIs" dxfId="41" priority="4" operator="between">
      <formula>0.5</formula>
      <formula>9.5</formula>
    </cfRule>
    <cfRule type="cellIs" dxfId="40" priority="5" stopIfTrue="1" operator="greaterThanOrEqual">
      <formula>9.5</formula>
    </cfRule>
  </conditionalFormatting>
  <conditionalFormatting sqref="M7:N1000">
    <cfRule type="cellIs" dxfId="39" priority="2" operator="equal">
      <formula>"Y"</formula>
    </cfRule>
    <cfRule type="cellIs" dxfId="38" priority="3" operator="equal">
      <formula>"F"</formula>
    </cfRule>
  </conditionalFormatting>
  <conditionalFormatting sqref="M7:S1000">
    <cfRule type="cellIs" dxfId="37" priority="1" operator="equal">
      <formula>"N"</formula>
    </cfRule>
  </conditionalFormatting>
  <dataValidations count="3">
    <dataValidation type="list" allowBlank="1" showInputMessage="1" showErrorMessage="1" sqref="N7" xr:uid="{FC0AE076-F0D4-4216-A880-877464A8F2FB}">
      <formula1>"Y,N,F"</formula1>
    </dataValidation>
    <dataValidation type="list" allowBlank="1" showInputMessage="1" showErrorMessage="1" sqref="M7" xr:uid="{2F0BBCDA-8F0C-4663-9C52-6D0D3B1FE61B}">
      <formula1>"Y,N"</formula1>
    </dataValidation>
    <dataValidation type="list" allowBlank="1" showInputMessage="1" showErrorMessage="1" sqref="O7" xr:uid="{CA0D7A33-6343-4E48-9A09-AD3C72A19F69}">
      <formula1>"Unable to contact,Illness,Failed H&amp;S test,Personal circumstances,Shift not suitable,Attended too late,Travel issues,Took another role,Staying in previous job,Other"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4" tint="-0.249977111117893"/>
  </sheetPr>
  <dimension ref="A1:W57"/>
  <sheetViews>
    <sheetView zoomScale="80" zoomScaleNormal="80" workbookViewId="0">
      <pane xSplit="1" ySplit="3" topLeftCell="B4" activePane="bottomRight" state="frozen"/>
      <selection activeCell="C29" sqref="C29"/>
      <selection pane="topRight" activeCell="C29" sqref="C29"/>
      <selection pane="bottomLeft" activeCell="C29" sqref="C29"/>
      <selection pane="bottomRight" activeCell="I8" sqref="I8"/>
    </sheetView>
  </sheetViews>
  <sheetFormatPr defaultColWidth="8.54296875" defaultRowHeight="16" x14ac:dyDescent="0.4"/>
  <cols>
    <col min="1" max="1" width="7.1796875" style="59" bestFit="1" customWidth="1"/>
    <col min="2" max="2" width="7.81640625" style="59" bestFit="1" customWidth="1"/>
    <col min="3" max="3" width="10.54296875" style="59" customWidth="1"/>
    <col min="4" max="4" width="9.54296875" style="59" bestFit="1" customWidth="1"/>
    <col min="5" max="5" width="6" style="59" bestFit="1" customWidth="1"/>
    <col min="6" max="6" width="9.54296875" style="59" bestFit="1" customWidth="1"/>
    <col min="7" max="7" width="12.453125" style="59" bestFit="1" customWidth="1"/>
    <col min="8" max="8" width="15" style="59" bestFit="1" customWidth="1"/>
    <col min="9" max="9" width="15.1796875" style="59" bestFit="1" customWidth="1"/>
    <col min="10" max="10" width="10" style="105" bestFit="1" customWidth="1"/>
    <col min="11" max="11" width="10.453125" style="105" bestFit="1" customWidth="1"/>
    <col min="12" max="12" width="10.81640625" style="105" bestFit="1" customWidth="1"/>
    <col min="13" max="13" width="9.54296875" style="105" bestFit="1" customWidth="1"/>
    <col min="14" max="14" width="9.453125" style="105" bestFit="1" customWidth="1"/>
    <col min="15" max="15" width="10.1796875" style="106" bestFit="1" customWidth="1"/>
    <col min="16" max="16" width="13.81640625" style="107" bestFit="1" customWidth="1"/>
    <col min="17" max="17" width="16" style="105" customWidth="1"/>
    <col min="18" max="20" width="9.453125" style="105" bestFit="1" customWidth="1"/>
    <col min="21" max="21" width="10.1796875" style="105" bestFit="1" customWidth="1"/>
    <col min="22" max="22" width="12.1796875" style="108" bestFit="1" customWidth="1"/>
    <col min="23" max="23" width="12.1796875" style="109" bestFit="1" customWidth="1"/>
    <col min="24" max="16384" width="8.54296875" style="59"/>
  </cols>
  <sheetData>
    <row r="1" spans="1:23" ht="16.5" thickBot="1" x14ac:dyDescent="0.45">
      <c r="A1" s="149" t="s">
        <v>0</v>
      </c>
      <c r="B1" s="151" t="s">
        <v>1</v>
      </c>
      <c r="C1" s="152"/>
      <c r="D1" s="152"/>
      <c r="E1" s="152"/>
      <c r="F1" s="152"/>
      <c r="G1" s="152"/>
      <c r="H1" s="152"/>
      <c r="I1" s="153"/>
      <c r="J1" s="156" t="s">
        <v>2</v>
      </c>
      <c r="K1" s="157"/>
      <c r="L1" s="157"/>
      <c r="M1" s="157"/>
      <c r="N1" s="157"/>
      <c r="O1" s="157"/>
      <c r="P1" s="157"/>
      <c r="Q1" s="157"/>
      <c r="R1" s="157"/>
      <c r="S1" s="157"/>
      <c r="T1" s="149"/>
      <c r="U1" s="158" t="s">
        <v>3</v>
      </c>
      <c r="V1" s="159"/>
      <c r="W1" s="160"/>
    </row>
    <row r="2" spans="1:23" ht="16.5" customHeight="1" thickBot="1" x14ac:dyDescent="0.45">
      <c r="A2" s="150"/>
      <c r="B2" s="154"/>
      <c r="C2" s="155"/>
      <c r="D2" s="155"/>
      <c r="E2" s="155"/>
      <c r="F2" s="155"/>
      <c r="G2" s="155"/>
      <c r="H2" s="155"/>
      <c r="I2" s="150"/>
      <c r="J2" s="154"/>
      <c r="K2" s="155"/>
      <c r="L2" s="155"/>
      <c r="M2" s="155"/>
      <c r="N2" s="155"/>
      <c r="O2" s="157"/>
      <c r="P2" s="157"/>
      <c r="Q2" s="157"/>
      <c r="R2" s="157"/>
      <c r="S2" s="157"/>
      <c r="T2" s="149"/>
      <c r="U2" s="161" t="s">
        <v>4</v>
      </c>
      <c r="V2" s="162"/>
      <c r="W2" s="163"/>
    </row>
    <row r="3" spans="1:23" s="126" customFormat="1" ht="42.75" customHeight="1" thickBot="1" x14ac:dyDescent="0.4">
      <c r="A3" s="110" t="s">
        <v>5</v>
      </c>
      <c r="B3" s="111" t="s">
        <v>6</v>
      </c>
      <c r="C3" s="112" t="s">
        <v>7</v>
      </c>
      <c r="D3" s="113" t="s">
        <v>8</v>
      </c>
      <c r="E3" s="114" t="s">
        <v>9</v>
      </c>
      <c r="F3" s="114" t="s">
        <v>10</v>
      </c>
      <c r="G3" s="115" t="s">
        <v>11</v>
      </c>
      <c r="H3" s="116" t="s">
        <v>12</v>
      </c>
      <c r="I3" s="117" t="s">
        <v>13</v>
      </c>
      <c r="J3" s="118" t="s">
        <v>14</v>
      </c>
      <c r="K3" s="119" t="s">
        <v>15</v>
      </c>
      <c r="L3" s="119" t="s">
        <v>16</v>
      </c>
      <c r="M3" s="119" t="s">
        <v>51</v>
      </c>
      <c r="N3" s="120" t="s">
        <v>17</v>
      </c>
      <c r="O3" s="121" t="s">
        <v>18</v>
      </c>
      <c r="P3" s="118" t="s">
        <v>19</v>
      </c>
      <c r="Q3" s="119" t="s">
        <v>20</v>
      </c>
      <c r="R3" s="119" t="s">
        <v>21</v>
      </c>
      <c r="S3" s="119" t="s">
        <v>22</v>
      </c>
      <c r="T3" s="122" t="s">
        <v>23</v>
      </c>
      <c r="U3" s="123" t="s">
        <v>24</v>
      </c>
      <c r="V3" s="124" t="s">
        <v>25</v>
      </c>
      <c r="W3" s="125" t="s">
        <v>26</v>
      </c>
    </row>
    <row r="4" spans="1:23" x14ac:dyDescent="0.4">
      <c r="A4" s="60">
        <v>1</v>
      </c>
      <c r="B4" s="61"/>
      <c r="C4" s="61"/>
      <c r="D4" s="61"/>
      <c r="E4" s="61"/>
      <c r="F4" s="61"/>
      <c r="G4" s="62" t="str">
        <f>IFERROR(SUM(D4/B4),"0.00%")</f>
        <v>0.00%</v>
      </c>
      <c r="H4" s="63" t="str">
        <f>IFERROR(SUM(F4/B4),"0.00%")</f>
        <v>0.00%</v>
      </c>
      <c r="I4" s="64">
        <f>SUM(H4-G4)</f>
        <v>0</v>
      </c>
      <c r="J4" s="65">
        <v>1500</v>
      </c>
      <c r="K4" s="66">
        <f>(SUM(J4-L4 -M4-P4)+F4)-Q4</f>
        <v>1500</v>
      </c>
      <c r="L4" s="66"/>
      <c r="M4" s="66"/>
      <c r="N4" s="67"/>
      <c r="O4" s="68"/>
      <c r="P4" s="69"/>
      <c r="Q4" s="70"/>
      <c r="R4" s="70"/>
      <c r="S4" s="70"/>
      <c r="T4" s="71"/>
      <c r="U4" s="72"/>
      <c r="V4" s="73"/>
      <c r="W4" s="74"/>
    </row>
    <row r="5" spans="1:23" x14ac:dyDescent="0.4">
      <c r="A5" s="60">
        <v>2</v>
      </c>
      <c r="B5" s="61"/>
      <c r="C5" s="61"/>
      <c r="D5" s="75"/>
      <c r="E5" s="76"/>
      <c r="F5" s="76"/>
      <c r="G5" s="62" t="str">
        <f t="shared" ref="G5:G56" si="0">IFERROR(SUM(D5/B5),"0.00%")</f>
        <v>0.00%</v>
      </c>
      <c r="H5" s="63" t="str">
        <f t="shared" ref="H5:H56" si="1">IFERROR(SUM(F5/B5),"0.00%")</f>
        <v>0.00%</v>
      </c>
      <c r="I5" s="64">
        <f t="shared" ref="I5:I56" si="2">SUM(H5-G5)</f>
        <v>0</v>
      </c>
      <c r="J5" s="65">
        <f>K4</f>
        <v>1500</v>
      </c>
      <c r="K5" s="66">
        <f t="shared" ref="K5:K56" si="3">(SUM(J5-L5 -M5-P5)+F5)-Q5</f>
        <v>1500</v>
      </c>
      <c r="L5" s="66"/>
      <c r="M5" s="66"/>
      <c r="N5" s="67"/>
      <c r="O5" s="68"/>
      <c r="P5" s="69"/>
      <c r="Q5" s="70"/>
      <c r="R5" s="70"/>
      <c r="S5" s="70"/>
      <c r="T5" s="71"/>
      <c r="U5" s="72"/>
      <c r="V5" s="73"/>
      <c r="W5" s="74"/>
    </row>
    <row r="6" spans="1:23" x14ac:dyDescent="0.4">
      <c r="A6" s="60">
        <v>3</v>
      </c>
      <c r="B6" s="61"/>
      <c r="C6" s="61"/>
      <c r="D6" s="75"/>
      <c r="E6" s="76"/>
      <c r="F6" s="76"/>
      <c r="G6" s="62" t="str">
        <f t="shared" si="0"/>
        <v>0.00%</v>
      </c>
      <c r="H6" s="63" t="str">
        <f t="shared" si="1"/>
        <v>0.00%</v>
      </c>
      <c r="I6" s="64">
        <f t="shared" si="2"/>
        <v>0</v>
      </c>
      <c r="J6" s="65">
        <f t="shared" ref="J6:J56" si="4">K5</f>
        <v>1500</v>
      </c>
      <c r="K6" s="66">
        <f t="shared" si="3"/>
        <v>1500</v>
      </c>
      <c r="L6" s="66"/>
      <c r="M6" s="66"/>
      <c r="N6" s="67"/>
      <c r="O6" s="68"/>
      <c r="P6" s="69"/>
      <c r="Q6" s="70"/>
      <c r="R6" s="70"/>
      <c r="S6" s="70"/>
      <c r="T6" s="71"/>
      <c r="U6" s="72"/>
      <c r="V6" s="73"/>
      <c r="W6" s="74"/>
    </row>
    <row r="7" spans="1:23" x14ac:dyDescent="0.4">
      <c r="A7" s="60">
        <v>4</v>
      </c>
      <c r="B7" s="61"/>
      <c r="C7" s="61"/>
      <c r="D7" s="75"/>
      <c r="E7" s="76"/>
      <c r="F7" s="76"/>
      <c r="G7" s="62" t="str">
        <f t="shared" si="0"/>
        <v>0.00%</v>
      </c>
      <c r="H7" s="63" t="str">
        <f t="shared" si="1"/>
        <v>0.00%</v>
      </c>
      <c r="I7" s="64">
        <f t="shared" si="2"/>
        <v>0</v>
      </c>
      <c r="J7" s="65">
        <f t="shared" si="4"/>
        <v>1500</v>
      </c>
      <c r="K7" s="66">
        <f t="shared" si="3"/>
        <v>1500</v>
      </c>
      <c r="L7" s="66"/>
      <c r="M7" s="66"/>
      <c r="N7" s="67"/>
      <c r="O7" s="68"/>
      <c r="P7" s="69"/>
      <c r="Q7" s="70"/>
      <c r="R7" s="70"/>
      <c r="S7" s="70"/>
      <c r="T7" s="71"/>
      <c r="U7" s="72"/>
      <c r="V7" s="73"/>
      <c r="W7" s="74"/>
    </row>
    <row r="8" spans="1:23" x14ac:dyDescent="0.4">
      <c r="A8" s="60">
        <v>5</v>
      </c>
      <c r="B8" s="61"/>
      <c r="C8" s="61"/>
      <c r="D8" s="75"/>
      <c r="E8" s="76"/>
      <c r="F8" s="76"/>
      <c r="G8" s="62" t="str">
        <f t="shared" si="0"/>
        <v>0.00%</v>
      </c>
      <c r="H8" s="63" t="str">
        <f t="shared" si="1"/>
        <v>0.00%</v>
      </c>
      <c r="I8" s="64">
        <f t="shared" si="2"/>
        <v>0</v>
      </c>
      <c r="J8" s="65">
        <f t="shared" si="4"/>
        <v>1500</v>
      </c>
      <c r="K8" s="66">
        <f t="shared" si="3"/>
        <v>1500</v>
      </c>
      <c r="L8" s="66"/>
      <c r="M8" s="66"/>
      <c r="N8" s="67"/>
      <c r="O8" s="68"/>
      <c r="P8" s="69"/>
      <c r="Q8" s="70"/>
      <c r="R8" s="70"/>
      <c r="S8" s="70"/>
      <c r="T8" s="71"/>
      <c r="U8" s="72"/>
      <c r="V8" s="73"/>
      <c r="W8" s="74"/>
    </row>
    <row r="9" spans="1:23" x14ac:dyDescent="0.4">
      <c r="A9" s="60">
        <v>6</v>
      </c>
      <c r="B9" s="61"/>
      <c r="C9" s="61"/>
      <c r="D9" s="75"/>
      <c r="E9" s="76"/>
      <c r="F9" s="76"/>
      <c r="G9" s="62" t="str">
        <f t="shared" si="0"/>
        <v>0.00%</v>
      </c>
      <c r="H9" s="63" t="str">
        <f t="shared" si="1"/>
        <v>0.00%</v>
      </c>
      <c r="I9" s="64">
        <f t="shared" si="2"/>
        <v>0</v>
      </c>
      <c r="J9" s="65">
        <f t="shared" si="4"/>
        <v>1500</v>
      </c>
      <c r="K9" s="66">
        <f t="shared" si="3"/>
        <v>1500</v>
      </c>
      <c r="L9" s="66"/>
      <c r="M9" s="66"/>
      <c r="N9" s="67"/>
      <c r="O9" s="68"/>
      <c r="P9" s="69"/>
      <c r="Q9" s="70"/>
      <c r="R9" s="70"/>
      <c r="S9" s="70"/>
      <c r="T9" s="71"/>
      <c r="U9" s="72"/>
      <c r="V9" s="73"/>
      <c r="W9" s="74"/>
    </row>
    <row r="10" spans="1:23" x14ac:dyDescent="0.4">
      <c r="A10" s="60">
        <v>7</v>
      </c>
      <c r="B10" s="61"/>
      <c r="C10" s="61"/>
      <c r="D10" s="75"/>
      <c r="E10" s="76"/>
      <c r="F10" s="76"/>
      <c r="G10" s="62" t="str">
        <f t="shared" si="0"/>
        <v>0.00%</v>
      </c>
      <c r="H10" s="63" t="str">
        <f t="shared" si="1"/>
        <v>0.00%</v>
      </c>
      <c r="I10" s="64">
        <f t="shared" si="2"/>
        <v>0</v>
      </c>
      <c r="J10" s="65">
        <f t="shared" si="4"/>
        <v>1500</v>
      </c>
      <c r="K10" s="66">
        <f t="shared" si="3"/>
        <v>1500</v>
      </c>
      <c r="L10" s="66"/>
      <c r="M10" s="66"/>
      <c r="N10" s="67"/>
      <c r="O10" s="68"/>
      <c r="P10" s="69"/>
      <c r="Q10" s="70"/>
      <c r="R10" s="70"/>
      <c r="S10" s="70"/>
      <c r="T10" s="71"/>
      <c r="U10" s="72"/>
      <c r="V10" s="73"/>
      <c r="W10" s="74"/>
    </row>
    <row r="11" spans="1:23" x14ac:dyDescent="0.4">
      <c r="A11" s="60">
        <v>8</v>
      </c>
      <c r="B11" s="61"/>
      <c r="C11" s="61"/>
      <c r="D11" s="75"/>
      <c r="E11" s="76"/>
      <c r="F11" s="76"/>
      <c r="G11" s="62" t="str">
        <f t="shared" si="0"/>
        <v>0.00%</v>
      </c>
      <c r="H11" s="63" t="str">
        <f t="shared" si="1"/>
        <v>0.00%</v>
      </c>
      <c r="I11" s="64">
        <f t="shared" si="2"/>
        <v>0</v>
      </c>
      <c r="J11" s="65">
        <f t="shared" si="4"/>
        <v>1500</v>
      </c>
      <c r="K11" s="66">
        <f t="shared" si="3"/>
        <v>1500</v>
      </c>
      <c r="L11" s="66"/>
      <c r="M11" s="66"/>
      <c r="N11" s="67"/>
      <c r="O11" s="68"/>
      <c r="P11" s="69"/>
      <c r="Q11" s="70"/>
      <c r="R11" s="70"/>
      <c r="S11" s="70"/>
      <c r="T11" s="71"/>
      <c r="U11" s="72"/>
      <c r="V11" s="73"/>
      <c r="W11" s="74"/>
    </row>
    <row r="12" spans="1:23" x14ac:dyDescent="0.4">
      <c r="A12" s="60">
        <v>9</v>
      </c>
      <c r="B12" s="61"/>
      <c r="C12" s="61"/>
      <c r="D12" s="75"/>
      <c r="E12" s="76"/>
      <c r="F12" s="76"/>
      <c r="G12" s="62" t="str">
        <f t="shared" si="0"/>
        <v>0.00%</v>
      </c>
      <c r="H12" s="63" t="str">
        <f t="shared" si="1"/>
        <v>0.00%</v>
      </c>
      <c r="I12" s="64">
        <f t="shared" si="2"/>
        <v>0</v>
      </c>
      <c r="J12" s="65">
        <f t="shared" si="4"/>
        <v>1500</v>
      </c>
      <c r="K12" s="66">
        <f t="shared" si="3"/>
        <v>1500</v>
      </c>
      <c r="L12" s="66"/>
      <c r="M12" s="66"/>
      <c r="N12" s="67"/>
      <c r="O12" s="68"/>
      <c r="P12" s="69"/>
      <c r="Q12" s="70"/>
      <c r="R12" s="70"/>
      <c r="S12" s="70"/>
      <c r="T12" s="71"/>
      <c r="U12" s="72"/>
      <c r="V12" s="73"/>
      <c r="W12" s="74"/>
    </row>
    <row r="13" spans="1:23" x14ac:dyDescent="0.4">
      <c r="A13" s="60">
        <v>10</v>
      </c>
      <c r="B13" s="61"/>
      <c r="C13" s="61"/>
      <c r="D13" s="75"/>
      <c r="E13" s="76"/>
      <c r="F13" s="76"/>
      <c r="G13" s="62" t="str">
        <f t="shared" si="0"/>
        <v>0.00%</v>
      </c>
      <c r="H13" s="63" t="str">
        <f t="shared" si="1"/>
        <v>0.00%</v>
      </c>
      <c r="I13" s="64">
        <f t="shared" si="2"/>
        <v>0</v>
      </c>
      <c r="J13" s="65">
        <f t="shared" si="4"/>
        <v>1500</v>
      </c>
      <c r="K13" s="66">
        <f t="shared" si="3"/>
        <v>1500</v>
      </c>
      <c r="L13" s="66"/>
      <c r="M13" s="66"/>
      <c r="N13" s="67"/>
      <c r="O13" s="68"/>
      <c r="P13" s="69"/>
      <c r="Q13" s="70"/>
      <c r="R13" s="70"/>
      <c r="S13" s="70"/>
      <c r="T13" s="71"/>
      <c r="U13" s="72"/>
      <c r="V13" s="73"/>
      <c r="W13" s="74"/>
    </row>
    <row r="14" spans="1:23" x14ac:dyDescent="0.4">
      <c r="A14" s="60">
        <v>11</v>
      </c>
      <c r="B14" s="61"/>
      <c r="C14" s="61"/>
      <c r="D14" s="75"/>
      <c r="E14" s="76"/>
      <c r="F14" s="76"/>
      <c r="G14" s="62" t="str">
        <f t="shared" si="0"/>
        <v>0.00%</v>
      </c>
      <c r="H14" s="63" t="str">
        <f t="shared" si="1"/>
        <v>0.00%</v>
      </c>
      <c r="I14" s="64">
        <f t="shared" si="2"/>
        <v>0</v>
      </c>
      <c r="J14" s="65">
        <f t="shared" si="4"/>
        <v>1500</v>
      </c>
      <c r="K14" s="66">
        <f t="shared" si="3"/>
        <v>1500</v>
      </c>
      <c r="L14" s="66"/>
      <c r="M14" s="66"/>
      <c r="N14" s="67"/>
      <c r="O14" s="68"/>
      <c r="P14" s="69"/>
      <c r="Q14" s="70"/>
      <c r="R14" s="70"/>
      <c r="S14" s="70"/>
      <c r="T14" s="71"/>
      <c r="U14" s="72"/>
      <c r="V14" s="73"/>
      <c r="W14" s="74"/>
    </row>
    <row r="15" spans="1:23" x14ac:dyDescent="0.4">
      <c r="A15" s="60">
        <v>12</v>
      </c>
      <c r="B15" s="61"/>
      <c r="C15" s="61"/>
      <c r="D15" s="75"/>
      <c r="E15" s="76"/>
      <c r="F15" s="76"/>
      <c r="G15" s="62" t="str">
        <f t="shared" si="0"/>
        <v>0.00%</v>
      </c>
      <c r="H15" s="63" t="str">
        <f t="shared" si="1"/>
        <v>0.00%</v>
      </c>
      <c r="I15" s="64">
        <f t="shared" si="2"/>
        <v>0</v>
      </c>
      <c r="J15" s="65">
        <f t="shared" si="4"/>
        <v>1500</v>
      </c>
      <c r="K15" s="66">
        <f t="shared" si="3"/>
        <v>1500</v>
      </c>
      <c r="L15" s="66"/>
      <c r="M15" s="66"/>
      <c r="N15" s="67"/>
      <c r="O15" s="68"/>
      <c r="P15" s="69"/>
      <c r="Q15" s="70"/>
      <c r="R15" s="70"/>
      <c r="S15" s="70"/>
      <c r="T15" s="71"/>
      <c r="U15" s="72"/>
      <c r="V15" s="73"/>
      <c r="W15" s="74"/>
    </row>
    <row r="16" spans="1:23" x14ac:dyDescent="0.4">
      <c r="A16" s="60">
        <v>13</v>
      </c>
      <c r="B16" s="61"/>
      <c r="C16" s="61"/>
      <c r="D16" s="75"/>
      <c r="E16" s="76"/>
      <c r="F16" s="76"/>
      <c r="G16" s="62" t="str">
        <f t="shared" si="0"/>
        <v>0.00%</v>
      </c>
      <c r="H16" s="63" t="str">
        <f t="shared" si="1"/>
        <v>0.00%</v>
      </c>
      <c r="I16" s="64">
        <f t="shared" si="2"/>
        <v>0</v>
      </c>
      <c r="J16" s="65">
        <f t="shared" si="4"/>
        <v>1500</v>
      </c>
      <c r="K16" s="66">
        <f t="shared" si="3"/>
        <v>1500</v>
      </c>
      <c r="L16" s="66"/>
      <c r="M16" s="66"/>
      <c r="N16" s="67"/>
      <c r="O16" s="68"/>
      <c r="P16" s="69"/>
      <c r="Q16" s="70"/>
      <c r="R16" s="70"/>
      <c r="S16" s="70"/>
      <c r="T16" s="71"/>
      <c r="U16" s="72"/>
      <c r="V16" s="73"/>
      <c r="W16" s="74"/>
    </row>
    <row r="17" spans="1:23" x14ac:dyDescent="0.4">
      <c r="A17" s="60">
        <v>14</v>
      </c>
      <c r="B17" s="61"/>
      <c r="C17" s="61"/>
      <c r="D17" s="75"/>
      <c r="E17" s="76"/>
      <c r="F17" s="76"/>
      <c r="G17" s="62" t="str">
        <f t="shared" si="0"/>
        <v>0.00%</v>
      </c>
      <c r="H17" s="63" t="str">
        <f t="shared" si="1"/>
        <v>0.00%</v>
      </c>
      <c r="I17" s="64">
        <f t="shared" si="2"/>
        <v>0</v>
      </c>
      <c r="J17" s="65">
        <f t="shared" si="4"/>
        <v>1500</v>
      </c>
      <c r="K17" s="66">
        <f t="shared" si="3"/>
        <v>1500</v>
      </c>
      <c r="L17" s="66"/>
      <c r="M17" s="66"/>
      <c r="N17" s="67"/>
      <c r="O17" s="68"/>
      <c r="P17" s="69"/>
      <c r="Q17" s="70"/>
      <c r="R17" s="70"/>
      <c r="S17" s="70"/>
      <c r="T17" s="71"/>
      <c r="U17" s="72"/>
      <c r="V17" s="73"/>
      <c r="W17" s="74"/>
    </row>
    <row r="18" spans="1:23" x14ac:dyDescent="0.4">
      <c r="A18" s="60">
        <v>15</v>
      </c>
      <c r="B18" s="61"/>
      <c r="C18" s="61"/>
      <c r="D18" s="75"/>
      <c r="E18" s="76"/>
      <c r="F18" s="76"/>
      <c r="G18" s="62" t="str">
        <f t="shared" si="0"/>
        <v>0.00%</v>
      </c>
      <c r="H18" s="63" t="str">
        <f t="shared" si="1"/>
        <v>0.00%</v>
      </c>
      <c r="I18" s="64">
        <f t="shared" si="2"/>
        <v>0</v>
      </c>
      <c r="J18" s="65">
        <f t="shared" si="4"/>
        <v>1500</v>
      </c>
      <c r="K18" s="66">
        <f t="shared" si="3"/>
        <v>1500</v>
      </c>
      <c r="L18" s="66"/>
      <c r="M18" s="66"/>
      <c r="N18" s="67"/>
      <c r="O18" s="68"/>
      <c r="P18" s="69"/>
      <c r="Q18" s="70"/>
      <c r="R18" s="70"/>
      <c r="S18" s="70"/>
      <c r="T18" s="71"/>
      <c r="U18" s="72"/>
      <c r="V18" s="73"/>
      <c r="W18" s="74"/>
    </row>
    <row r="19" spans="1:23" x14ac:dyDescent="0.4">
      <c r="A19" s="60">
        <v>16</v>
      </c>
      <c r="B19" s="61"/>
      <c r="C19" s="61"/>
      <c r="D19" s="75"/>
      <c r="E19" s="76"/>
      <c r="F19" s="76"/>
      <c r="G19" s="62" t="str">
        <f t="shared" si="0"/>
        <v>0.00%</v>
      </c>
      <c r="H19" s="63" t="str">
        <f t="shared" si="1"/>
        <v>0.00%</v>
      </c>
      <c r="I19" s="64">
        <f t="shared" si="2"/>
        <v>0</v>
      </c>
      <c r="J19" s="65">
        <f t="shared" si="4"/>
        <v>1500</v>
      </c>
      <c r="K19" s="66">
        <f t="shared" si="3"/>
        <v>1500</v>
      </c>
      <c r="L19" s="66"/>
      <c r="M19" s="66"/>
      <c r="N19" s="67"/>
      <c r="O19" s="68"/>
      <c r="P19" s="69"/>
      <c r="Q19" s="70"/>
      <c r="R19" s="70"/>
      <c r="S19" s="70"/>
      <c r="T19" s="71"/>
      <c r="U19" s="72"/>
      <c r="V19" s="73"/>
      <c r="W19" s="74"/>
    </row>
    <row r="20" spans="1:23" x14ac:dyDescent="0.4">
      <c r="A20" s="60">
        <v>17</v>
      </c>
      <c r="B20" s="61"/>
      <c r="C20" s="61"/>
      <c r="D20" s="75"/>
      <c r="E20" s="76"/>
      <c r="F20" s="76"/>
      <c r="G20" s="62" t="str">
        <f t="shared" si="0"/>
        <v>0.00%</v>
      </c>
      <c r="H20" s="63" t="str">
        <f t="shared" si="1"/>
        <v>0.00%</v>
      </c>
      <c r="I20" s="64">
        <f t="shared" si="2"/>
        <v>0</v>
      </c>
      <c r="J20" s="65">
        <f t="shared" si="4"/>
        <v>1500</v>
      </c>
      <c r="K20" s="66">
        <f t="shared" si="3"/>
        <v>1500</v>
      </c>
      <c r="L20" s="66"/>
      <c r="M20" s="66"/>
      <c r="N20" s="67"/>
      <c r="O20" s="68"/>
      <c r="P20" s="69"/>
      <c r="Q20" s="70"/>
      <c r="R20" s="70"/>
      <c r="S20" s="70"/>
      <c r="T20" s="71"/>
      <c r="U20" s="72"/>
      <c r="V20" s="73"/>
      <c r="W20" s="74"/>
    </row>
    <row r="21" spans="1:23" x14ac:dyDescent="0.4">
      <c r="A21" s="60">
        <v>18</v>
      </c>
      <c r="B21" s="61"/>
      <c r="C21" s="61"/>
      <c r="D21" s="75"/>
      <c r="E21" s="76"/>
      <c r="F21" s="76"/>
      <c r="G21" s="62" t="str">
        <f t="shared" si="0"/>
        <v>0.00%</v>
      </c>
      <c r="H21" s="63" t="str">
        <f t="shared" si="1"/>
        <v>0.00%</v>
      </c>
      <c r="I21" s="64">
        <f t="shared" si="2"/>
        <v>0</v>
      </c>
      <c r="J21" s="65">
        <f t="shared" si="4"/>
        <v>1500</v>
      </c>
      <c r="K21" s="66">
        <f t="shared" si="3"/>
        <v>1500</v>
      </c>
      <c r="L21" s="66"/>
      <c r="M21" s="66"/>
      <c r="N21" s="67"/>
      <c r="O21" s="68"/>
      <c r="P21" s="69"/>
      <c r="Q21" s="70"/>
      <c r="R21" s="70"/>
      <c r="S21" s="70"/>
      <c r="T21" s="71"/>
      <c r="U21" s="72"/>
      <c r="V21" s="73"/>
      <c r="W21" s="74"/>
    </row>
    <row r="22" spans="1:23" x14ac:dyDescent="0.4">
      <c r="A22" s="60">
        <v>19</v>
      </c>
      <c r="B22" s="61"/>
      <c r="C22" s="61"/>
      <c r="D22" s="75"/>
      <c r="E22" s="76"/>
      <c r="F22" s="76"/>
      <c r="G22" s="62" t="str">
        <f t="shared" si="0"/>
        <v>0.00%</v>
      </c>
      <c r="H22" s="63" t="str">
        <f t="shared" si="1"/>
        <v>0.00%</v>
      </c>
      <c r="I22" s="64">
        <f t="shared" si="2"/>
        <v>0</v>
      </c>
      <c r="J22" s="65">
        <f t="shared" si="4"/>
        <v>1500</v>
      </c>
      <c r="K22" s="66">
        <f t="shared" si="3"/>
        <v>1500</v>
      </c>
      <c r="L22" s="66"/>
      <c r="M22" s="66"/>
      <c r="N22" s="67"/>
      <c r="O22" s="68"/>
      <c r="P22" s="69"/>
      <c r="Q22" s="70"/>
      <c r="R22" s="70"/>
      <c r="S22" s="70"/>
      <c r="T22" s="71"/>
      <c r="U22" s="72"/>
      <c r="V22" s="73"/>
      <c r="W22" s="74"/>
    </row>
    <row r="23" spans="1:23" x14ac:dyDescent="0.4">
      <c r="A23" s="60">
        <v>20</v>
      </c>
      <c r="B23" s="61"/>
      <c r="C23" s="61"/>
      <c r="D23" s="75"/>
      <c r="E23" s="76"/>
      <c r="F23" s="76"/>
      <c r="G23" s="62" t="str">
        <f t="shared" si="0"/>
        <v>0.00%</v>
      </c>
      <c r="H23" s="63" t="str">
        <f t="shared" si="1"/>
        <v>0.00%</v>
      </c>
      <c r="I23" s="64">
        <f t="shared" si="2"/>
        <v>0</v>
      </c>
      <c r="J23" s="65">
        <f t="shared" si="4"/>
        <v>1500</v>
      </c>
      <c r="K23" s="66">
        <f t="shared" si="3"/>
        <v>1500</v>
      </c>
      <c r="L23" s="66"/>
      <c r="M23" s="66"/>
      <c r="N23" s="67"/>
      <c r="O23" s="68"/>
      <c r="P23" s="69"/>
      <c r="Q23" s="70"/>
      <c r="R23" s="70"/>
      <c r="S23" s="70"/>
      <c r="T23" s="71"/>
      <c r="U23" s="72"/>
      <c r="V23" s="73"/>
      <c r="W23" s="74"/>
    </row>
    <row r="24" spans="1:23" x14ac:dyDescent="0.4">
      <c r="A24" s="60">
        <v>21</v>
      </c>
      <c r="B24" s="61"/>
      <c r="C24" s="61"/>
      <c r="D24" s="75"/>
      <c r="E24" s="76"/>
      <c r="F24" s="76"/>
      <c r="G24" s="62" t="str">
        <f t="shared" si="0"/>
        <v>0.00%</v>
      </c>
      <c r="H24" s="63" t="str">
        <f t="shared" si="1"/>
        <v>0.00%</v>
      </c>
      <c r="I24" s="64">
        <f t="shared" si="2"/>
        <v>0</v>
      </c>
      <c r="J24" s="65">
        <f t="shared" si="4"/>
        <v>1500</v>
      </c>
      <c r="K24" s="66">
        <f t="shared" si="3"/>
        <v>1500</v>
      </c>
      <c r="L24" s="66"/>
      <c r="M24" s="66"/>
      <c r="N24" s="67"/>
      <c r="O24" s="68"/>
      <c r="P24" s="69"/>
      <c r="Q24" s="70"/>
      <c r="R24" s="70"/>
      <c r="S24" s="70"/>
      <c r="T24" s="71"/>
      <c r="U24" s="72"/>
      <c r="V24" s="73"/>
      <c r="W24" s="74"/>
    </row>
    <row r="25" spans="1:23" x14ac:dyDescent="0.4">
      <c r="A25" s="60">
        <v>22</v>
      </c>
      <c r="B25" s="61"/>
      <c r="C25" s="61"/>
      <c r="D25" s="75"/>
      <c r="E25" s="76"/>
      <c r="F25" s="76"/>
      <c r="G25" s="62" t="str">
        <f t="shared" si="0"/>
        <v>0.00%</v>
      </c>
      <c r="H25" s="63" t="str">
        <f t="shared" si="1"/>
        <v>0.00%</v>
      </c>
      <c r="I25" s="64">
        <f t="shared" si="2"/>
        <v>0</v>
      </c>
      <c r="J25" s="65">
        <f t="shared" si="4"/>
        <v>1500</v>
      </c>
      <c r="K25" s="66">
        <f t="shared" si="3"/>
        <v>1500</v>
      </c>
      <c r="L25" s="66"/>
      <c r="M25" s="66"/>
      <c r="N25" s="67"/>
      <c r="O25" s="68"/>
      <c r="P25" s="69"/>
      <c r="Q25" s="70"/>
      <c r="R25" s="70"/>
      <c r="S25" s="70"/>
      <c r="T25" s="71"/>
      <c r="U25" s="72"/>
      <c r="V25" s="73"/>
      <c r="W25" s="74"/>
    </row>
    <row r="26" spans="1:23" x14ac:dyDescent="0.4">
      <c r="A26" s="60">
        <v>23</v>
      </c>
      <c r="B26" s="61"/>
      <c r="C26" s="61"/>
      <c r="D26" s="75"/>
      <c r="E26" s="76"/>
      <c r="F26" s="76"/>
      <c r="G26" s="62" t="str">
        <f t="shared" si="0"/>
        <v>0.00%</v>
      </c>
      <c r="H26" s="63" t="str">
        <f t="shared" si="1"/>
        <v>0.00%</v>
      </c>
      <c r="I26" s="64">
        <f t="shared" si="2"/>
        <v>0</v>
      </c>
      <c r="J26" s="65">
        <f t="shared" si="4"/>
        <v>1500</v>
      </c>
      <c r="K26" s="66">
        <f t="shared" si="3"/>
        <v>1500</v>
      </c>
      <c r="L26" s="66"/>
      <c r="M26" s="66"/>
      <c r="N26" s="67"/>
      <c r="O26" s="68"/>
      <c r="P26" s="69"/>
      <c r="Q26" s="70"/>
      <c r="R26" s="70"/>
      <c r="S26" s="70"/>
      <c r="T26" s="71"/>
      <c r="U26" s="72"/>
      <c r="V26" s="73"/>
      <c r="W26" s="74"/>
    </row>
    <row r="27" spans="1:23" x14ac:dyDescent="0.4">
      <c r="A27" s="60">
        <v>24</v>
      </c>
      <c r="B27" s="61"/>
      <c r="C27" s="61"/>
      <c r="D27" s="75"/>
      <c r="E27" s="76"/>
      <c r="F27" s="76"/>
      <c r="G27" s="62" t="str">
        <f t="shared" si="0"/>
        <v>0.00%</v>
      </c>
      <c r="H27" s="63" t="str">
        <f t="shared" si="1"/>
        <v>0.00%</v>
      </c>
      <c r="I27" s="64">
        <f t="shared" si="2"/>
        <v>0</v>
      </c>
      <c r="J27" s="65">
        <f t="shared" si="4"/>
        <v>1500</v>
      </c>
      <c r="K27" s="66">
        <f t="shared" si="3"/>
        <v>1500</v>
      </c>
      <c r="L27" s="66"/>
      <c r="M27" s="66"/>
      <c r="N27" s="67"/>
      <c r="O27" s="68"/>
      <c r="P27" s="69"/>
      <c r="Q27" s="70"/>
      <c r="R27" s="70"/>
      <c r="S27" s="70"/>
      <c r="T27" s="71"/>
      <c r="U27" s="72"/>
      <c r="V27" s="73"/>
      <c r="W27" s="74"/>
    </row>
    <row r="28" spans="1:23" x14ac:dyDescent="0.4">
      <c r="A28" s="60">
        <v>25</v>
      </c>
      <c r="B28" s="61"/>
      <c r="C28" s="61"/>
      <c r="D28" s="75"/>
      <c r="E28" s="76"/>
      <c r="F28" s="76"/>
      <c r="G28" s="62" t="str">
        <f t="shared" si="0"/>
        <v>0.00%</v>
      </c>
      <c r="H28" s="63" t="str">
        <f t="shared" si="1"/>
        <v>0.00%</v>
      </c>
      <c r="I28" s="64">
        <f t="shared" si="2"/>
        <v>0</v>
      </c>
      <c r="J28" s="65">
        <f t="shared" si="4"/>
        <v>1500</v>
      </c>
      <c r="K28" s="66">
        <f t="shared" si="3"/>
        <v>1500</v>
      </c>
      <c r="L28" s="66"/>
      <c r="M28" s="66"/>
      <c r="N28" s="67"/>
      <c r="O28" s="68"/>
      <c r="P28" s="69"/>
      <c r="Q28" s="70"/>
      <c r="R28" s="70"/>
      <c r="S28" s="70"/>
      <c r="T28" s="71"/>
      <c r="U28" s="72"/>
      <c r="V28" s="73"/>
      <c r="W28" s="74"/>
    </row>
    <row r="29" spans="1:23" x14ac:dyDescent="0.4">
      <c r="A29" s="60">
        <v>26</v>
      </c>
      <c r="B29" s="61"/>
      <c r="C29" s="61"/>
      <c r="D29" s="75"/>
      <c r="E29" s="76"/>
      <c r="F29" s="76"/>
      <c r="G29" s="62" t="str">
        <f t="shared" si="0"/>
        <v>0.00%</v>
      </c>
      <c r="H29" s="63" t="str">
        <f t="shared" si="1"/>
        <v>0.00%</v>
      </c>
      <c r="I29" s="64">
        <f t="shared" si="2"/>
        <v>0</v>
      </c>
      <c r="J29" s="65">
        <f t="shared" si="4"/>
        <v>1500</v>
      </c>
      <c r="K29" s="66">
        <f t="shared" si="3"/>
        <v>1500</v>
      </c>
      <c r="L29" s="66"/>
      <c r="M29" s="66"/>
      <c r="N29" s="67"/>
      <c r="O29" s="68"/>
      <c r="P29" s="69"/>
      <c r="Q29" s="70"/>
      <c r="R29" s="70"/>
      <c r="S29" s="70"/>
      <c r="T29" s="71"/>
      <c r="U29" s="72"/>
      <c r="V29" s="73"/>
      <c r="W29" s="74"/>
    </row>
    <row r="30" spans="1:23" x14ac:dyDescent="0.4">
      <c r="A30" s="60">
        <v>27</v>
      </c>
      <c r="B30" s="61"/>
      <c r="C30" s="61"/>
      <c r="D30" s="75"/>
      <c r="E30" s="76"/>
      <c r="F30" s="76"/>
      <c r="G30" s="62" t="str">
        <f t="shared" si="0"/>
        <v>0.00%</v>
      </c>
      <c r="H30" s="63" t="str">
        <f t="shared" si="1"/>
        <v>0.00%</v>
      </c>
      <c r="I30" s="64">
        <f t="shared" si="2"/>
        <v>0</v>
      </c>
      <c r="J30" s="65">
        <f t="shared" si="4"/>
        <v>1500</v>
      </c>
      <c r="K30" s="66">
        <f t="shared" si="3"/>
        <v>1500</v>
      </c>
      <c r="L30" s="66"/>
      <c r="M30" s="66"/>
      <c r="N30" s="67"/>
      <c r="O30" s="68"/>
      <c r="P30" s="69"/>
      <c r="Q30" s="70"/>
      <c r="R30" s="70"/>
      <c r="S30" s="70"/>
      <c r="T30" s="71"/>
      <c r="U30" s="72"/>
      <c r="V30" s="73"/>
      <c r="W30" s="74"/>
    </row>
    <row r="31" spans="1:23" x14ac:dyDescent="0.4">
      <c r="A31" s="60">
        <v>28</v>
      </c>
      <c r="B31" s="61"/>
      <c r="C31" s="61"/>
      <c r="D31" s="75"/>
      <c r="E31" s="76"/>
      <c r="F31" s="76"/>
      <c r="G31" s="62" t="str">
        <f t="shared" si="0"/>
        <v>0.00%</v>
      </c>
      <c r="H31" s="63" t="str">
        <f t="shared" si="1"/>
        <v>0.00%</v>
      </c>
      <c r="I31" s="64">
        <f t="shared" si="2"/>
        <v>0</v>
      </c>
      <c r="J31" s="65">
        <f t="shared" si="4"/>
        <v>1500</v>
      </c>
      <c r="K31" s="66">
        <f t="shared" si="3"/>
        <v>1500</v>
      </c>
      <c r="L31" s="66"/>
      <c r="M31" s="66"/>
      <c r="N31" s="67"/>
      <c r="O31" s="68"/>
      <c r="P31" s="69"/>
      <c r="Q31" s="70"/>
      <c r="R31" s="70"/>
      <c r="S31" s="70"/>
      <c r="T31" s="71"/>
      <c r="U31" s="72"/>
      <c r="V31" s="73"/>
      <c r="W31" s="74"/>
    </row>
    <row r="32" spans="1:23" x14ac:dyDescent="0.4">
      <c r="A32" s="60">
        <v>29</v>
      </c>
      <c r="B32" s="61"/>
      <c r="C32" s="61"/>
      <c r="D32" s="75"/>
      <c r="E32" s="76"/>
      <c r="F32" s="76"/>
      <c r="G32" s="62" t="str">
        <f t="shared" si="0"/>
        <v>0.00%</v>
      </c>
      <c r="H32" s="63" t="str">
        <f t="shared" si="1"/>
        <v>0.00%</v>
      </c>
      <c r="I32" s="64">
        <f t="shared" si="2"/>
        <v>0</v>
      </c>
      <c r="J32" s="65">
        <f t="shared" si="4"/>
        <v>1500</v>
      </c>
      <c r="K32" s="66">
        <f t="shared" si="3"/>
        <v>1500</v>
      </c>
      <c r="L32" s="66"/>
      <c r="M32" s="66"/>
      <c r="N32" s="67"/>
      <c r="O32" s="68"/>
      <c r="P32" s="69"/>
      <c r="Q32" s="70"/>
      <c r="R32" s="70"/>
      <c r="S32" s="70"/>
      <c r="T32" s="71"/>
      <c r="U32" s="72"/>
      <c r="V32" s="73"/>
      <c r="W32" s="74"/>
    </row>
    <row r="33" spans="1:23" x14ac:dyDescent="0.4">
      <c r="A33" s="60">
        <v>30</v>
      </c>
      <c r="B33" s="61"/>
      <c r="C33" s="61"/>
      <c r="D33" s="75"/>
      <c r="E33" s="76"/>
      <c r="F33" s="76"/>
      <c r="G33" s="62" t="str">
        <f t="shared" si="0"/>
        <v>0.00%</v>
      </c>
      <c r="H33" s="63" t="str">
        <f t="shared" si="1"/>
        <v>0.00%</v>
      </c>
      <c r="I33" s="64">
        <f t="shared" si="2"/>
        <v>0</v>
      </c>
      <c r="J33" s="65">
        <f t="shared" si="4"/>
        <v>1500</v>
      </c>
      <c r="K33" s="66">
        <f t="shared" si="3"/>
        <v>1500</v>
      </c>
      <c r="L33" s="66"/>
      <c r="M33" s="66"/>
      <c r="N33" s="67"/>
      <c r="O33" s="68"/>
      <c r="P33" s="69"/>
      <c r="Q33" s="70"/>
      <c r="R33" s="70"/>
      <c r="S33" s="70"/>
      <c r="T33" s="71"/>
      <c r="U33" s="72"/>
      <c r="V33" s="73"/>
      <c r="W33" s="74"/>
    </row>
    <row r="34" spans="1:23" x14ac:dyDescent="0.4">
      <c r="A34" s="60">
        <v>31</v>
      </c>
      <c r="B34" s="61"/>
      <c r="C34" s="61"/>
      <c r="D34" s="75"/>
      <c r="E34" s="76"/>
      <c r="F34" s="76"/>
      <c r="G34" s="62" t="str">
        <f t="shared" si="0"/>
        <v>0.00%</v>
      </c>
      <c r="H34" s="63" t="str">
        <f t="shared" si="1"/>
        <v>0.00%</v>
      </c>
      <c r="I34" s="64">
        <f t="shared" si="2"/>
        <v>0</v>
      </c>
      <c r="J34" s="65">
        <f t="shared" si="4"/>
        <v>1500</v>
      </c>
      <c r="K34" s="66">
        <f t="shared" si="3"/>
        <v>1500</v>
      </c>
      <c r="L34" s="66"/>
      <c r="M34" s="66"/>
      <c r="N34" s="67"/>
      <c r="O34" s="68"/>
      <c r="P34" s="69"/>
      <c r="Q34" s="70"/>
      <c r="R34" s="70"/>
      <c r="S34" s="70"/>
      <c r="T34" s="71"/>
      <c r="U34" s="72"/>
      <c r="V34" s="73"/>
      <c r="W34" s="74"/>
    </row>
    <row r="35" spans="1:23" x14ac:dyDescent="0.4">
      <c r="A35" s="60">
        <v>32</v>
      </c>
      <c r="B35" s="61"/>
      <c r="C35" s="61"/>
      <c r="D35" s="75"/>
      <c r="E35" s="76"/>
      <c r="F35" s="76"/>
      <c r="G35" s="62" t="str">
        <f t="shared" si="0"/>
        <v>0.00%</v>
      </c>
      <c r="H35" s="63" t="str">
        <f t="shared" si="1"/>
        <v>0.00%</v>
      </c>
      <c r="I35" s="64">
        <f t="shared" si="2"/>
        <v>0</v>
      </c>
      <c r="J35" s="65">
        <f t="shared" si="4"/>
        <v>1500</v>
      </c>
      <c r="K35" s="66">
        <f t="shared" si="3"/>
        <v>1500</v>
      </c>
      <c r="L35" s="66"/>
      <c r="M35" s="66"/>
      <c r="N35" s="67"/>
      <c r="O35" s="68"/>
      <c r="P35" s="69"/>
      <c r="Q35" s="70"/>
      <c r="R35" s="70"/>
      <c r="S35" s="70"/>
      <c r="T35" s="71"/>
      <c r="U35" s="72"/>
      <c r="V35" s="73"/>
      <c r="W35" s="74"/>
    </row>
    <row r="36" spans="1:23" x14ac:dyDescent="0.4">
      <c r="A36" s="60">
        <v>33</v>
      </c>
      <c r="B36" s="61"/>
      <c r="C36" s="61"/>
      <c r="D36" s="75"/>
      <c r="E36" s="76"/>
      <c r="F36" s="76"/>
      <c r="G36" s="62" t="str">
        <f t="shared" si="0"/>
        <v>0.00%</v>
      </c>
      <c r="H36" s="63" t="str">
        <f t="shared" si="1"/>
        <v>0.00%</v>
      </c>
      <c r="I36" s="64">
        <f t="shared" si="2"/>
        <v>0</v>
      </c>
      <c r="J36" s="65">
        <f t="shared" si="4"/>
        <v>1500</v>
      </c>
      <c r="K36" s="66">
        <f t="shared" si="3"/>
        <v>1500</v>
      </c>
      <c r="L36" s="66"/>
      <c r="M36" s="66"/>
      <c r="N36" s="67"/>
      <c r="O36" s="68"/>
      <c r="P36" s="69"/>
      <c r="Q36" s="70"/>
      <c r="R36" s="70"/>
      <c r="S36" s="70"/>
      <c r="T36" s="71"/>
      <c r="U36" s="72"/>
      <c r="V36" s="73"/>
      <c r="W36" s="74"/>
    </row>
    <row r="37" spans="1:23" x14ac:dyDescent="0.4">
      <c r="A37" s="60">
        <v>34</v>
      </c>
      <c r="B37" s="61"/>
      <c r="C37" s="61"/>
      <c r="D37" s="75"/>
      <c r="E37" s="76"/>
      <c r="F37" s="76"/>
      <c r="G37" s="62" t="str">
        <f t="shared" si="0"/>
        <v>0.00%</v>
      </c>
      <c r="H37" s="63" t="str">
        <f t="shared" si="1"/>
        <v>0.00%</v>
      </c>
      <c r="I37" s="64">
        <f t="shared" si="2"/>
        <v>0</v>
      </c>
      <c r="J37" s="65">
        <f t="shared" si="4"/>
        <v>1500</v>
      </c>
      <c r="K37" s="66">
        <f t="shared" si="3"/>
        <v>1500</v>
      </c>
      <c r="L37" s="66"/>
      <c r="M37" s="66"/>
      <c r="N37" s="67"/>
      <c r="O37" s="68"/>
      <c r="P37" s="69"/>
      <c r="Q37" s="70"/>
      <c r="R37" s="70"/>
      <c r="S37" s="70"/>
      <c r="T37" s="71"/>
      <c r="U37" s="72"/>
      <c r="V37" s="73"/>
      <c r="W37" s="74"/>
    </row>
    <row r="38" spans="1:23" x14ac:dyDescent="0.4">
      <c r="A38" s="60">
        <v>35</v>
      </c>
      <c r="B38" s="70"/>
      <c r="C38" s="61"/>
      <c r="D38" s="75"/>
      <c r="E38" s="76"/>
      <c r="F38" s="76"/>
      <c r="G38" s="62" t="str">
        <f t="shared" si="0"/>
        <v>0.00%</v>
      </c>
      <c r="H38" s="63" t="str">
        <f t="shared" si="1"/>
        <v>0.00%</v>
      </c>
      <c r="I38" s="64">
        <f t="shared" si="2"/>
        <v>0</v>
      </c>
      <c r="J38" s="65">
        <f t="shared" si="4"/>
        <v>1500</v>
      </c>
      <c r="K38" s="66">
        <f t="shared" si="3"/>
        <v>1500</v>
      </c>
      <c r="L38" s="66"/>
      <c r="M38" s="66"/>
      <c r="N38" s="67"/>
      <c r="O38" s="68"/>
      <c r="P38" s="69"/>
      <c r="Q38" s="70"/>
      <c r="R38" s="70"/>
      <c r="S38" s="70"/>
      <c r="T38" s="71"/>
      <c r="U38" s="72"/>
      <c r="V38" s="73"/>
      <c r="W38" s="74"/>
    </row>
    <row r="39" spans="1:23" x14ac:dyDescent="0.4">
      <c r="A39" s="60">
        <v>36</v>
      </c>
      <c r="B39" s="70"/>
      <c r="C39" s="61"/>
      <c r="D39" s="75"/>
      <c r="E39" s="76"/>
      <c r="F39" s="76"/>
      <c r="G39" s="62" t="str">
        <f t="shared" si="0"/>
        <v>0.00%</v>
      </c>
      <c r="H39" s="63" t="str">
        <f t="shared" si="1"/>
        <v>0.00%</v>
      </c>
      <c r="I39" s="64">
        <f t="shared" si="2"/>
        <v>0</v>
      </c>
      <c r="J39" s="65">
        <f t="shared" si="4"/>
        <v>1500</v>
      </c>
      <c r="K39" s="66">
        <f t="shared" si="3"/>
        <v>1500</v>
      </c>
      <c r="L39" s="66"/>
      <c r="M39" s="66"/>
      <c r="N39" s="67"/>
      <c r="O39" s="68"/>
      <c r="P39" s="69"/>
      <c r="Q39" s="70"/>
      <c r="R39" s="70"/>
      <c r="S39" s="70"/>
      <c r="T39" s="71"/>
      <c r="U39" s="72"/>
      <c r="V39" s="73"/>
      <c r="W39" s="74"/>
    </row>
    <row r="40" spans="1:23" x14ac:dyDescent="0.4">
      <c r="A40" s="60">
        <v>37</v>
      </c>
      <c r="B40" s="70"/>
      <c r="C40" s="61"/>
      <c r="D40" s="75"/>
      <c r="E40" s="76"/>
      <c r="F40" s="76"/>
      <c r="G40" s="62" t="str">
        <f t="shared" si="0"/>
        <v>0.00%</v>
      </c>
      <c r="H40" s="63" t="str">
        <f t="shared" si="1"/>
        <v>0.00%</v>
      </c>
      <c r="I40" s="64">
        <f t="shared" si="2"/>
        <v>0</v>
      </c>
      <c r="J40" s="65">
        <f t="shared" si="4"/>
        <v>1500</v>
      </c>
      <c r="K40" s="66">
        <f t="shared" si="3"/>
        <v>1500</v>
      </c>
      <c r="L40" s="66"/>
      <c r="M40" s="66"/>
      <c r="N40" s="67"/>
      <c r="O40" s="68"/>
      <c r="P40" s="69"/>
      <c r="Q40" s="70"/>
      <c r="R40" s="70"/>
      <c r="S40" s="70"/>
      <c r="T40" s="71"/>
      <c r="U40" s="72"/>
      <c r="V40" s="73"/>
      <c r="W40" s="74"/>
    </row>
    <row r="41" spans="1:23" x14ac:dyDescent="0.4">
      <c r="A41" s="60">
        <v>38</v>
      </c>
      <c r="B41" s="77"/>
      <c r="C41" s="75"/>
      <c r="D41" s="75"/>
      <c r="E41" s="76"/>
      <c r="F41" s="76"/>
      <c r="G41" s="62" t="str">
        <f t="shared" si="0"/>
        <v>0.00%</v>
      </c>
      <c r="H41" s="63" t="str">
        <f t="shared" si="1"/>
        <v>0.00%</v>
      </c>
      <c r="I41" s="64">
        <f t="shared" si="2"/>
        <v>0</v>
      </c>
      <c r="J41" s="65">
        <f t="shared" si="4"/>
        <v>1500</v>
      </c>
      <c r="K41" s="66">
        <f t="shared" si="3"/>
        <v>1500</v>
      </c>
      <c r="L41" s="66"/>
      <c r="M41" s="66"/>
      <c r="N41" s="78"/>
      <c r="O41" s="68"/>
      <c r="P41" s="69"/>
      <c r="Q41" s="70"/>
      <c r="R41" s="77"/>
      <c r="S41" s="77"/>
      <c r="T41" s="79"/>
      <c r="U41" s="72"/>
      <c r="V41" s="73"/>
      <c r="W41" s="74"/>
    </row>
    <row r="42" spans="1:23" x14ac:dyDescent="0.4">
      <c r="A42" s="60">
        <v>39</v>
      </c>
      <c r="B42" s="77"/>
      <c r="C42" s="75"/>
      <c r="D42" s="75"/>
      <c r="E42" s="76"/>
      <c r="F42" s="76"/>
      <c r="G42" s="62" t="str">
        <f t="shared" si="0"/>
        <v>0.00%</v>
      </c>
      <c r="H42" s="63" t="str">
        <f t="shared" si="1"/>
        <v>0.00%</v>
      </c>
      <c r="I42" s="64">
        <f t="shared" si="2"/>
        <v>0</v>
      </c>
      <c r="J42" s="65">
        <f t="shared" si="4"/>
        <v>1500</v>
      </c>
      <c r="K42" s="66">
        <f t="shared" si="3"/>
        <v>1500</v>
      </c>
      <c r="L42" s="66"/>
      <c r="M42" s="66"/>
      <c r="N42" s="78"/>
      <c r="O42" s="68"/>
      <c r="P42" s="69"/>
      <c r="Q42" s="70"/>
      <c r="R42" s="77"/>
      <c r="S42" s="77"/>
      <c r="T42" s="79"/>
      <c r="U42" s="72"/>
      <c r="V42" s="73"/>
      <c r="W42" s="74"/>
    </row>
    <row r="43" spans="1:23" x14ac:dyDescent="0.4">
      <c r="A43" s="60">
        <v>40</v>
      </c>
      <c r="B43" s="77"/>
      <c r="C43" s="75"/>
      <c r="D43" s="75"/>
      <c r="E43" s="76"/>
      <c r="F43" s="76"/>
      <c r="G43" s="62" t="str">
        <f t="shared" si="0"/>
        <v>0.00%</v>
      </c>
      <c r="H43" s="63" t="str">
        <f t="shared" si="1"/>
        <v>0.00%</v>
      </c>
      <c r="I43" s="64">
        <f t="shared" si="2"/>
        <v>0</v>
      </c>
      <c r="J43" s="65">
        <f t="shared" si="4"/>
        <v>1500</v>
      </c>
      <c r="K43" s="66">
        <f t="shared" si="3"/>
        <v>1500</v>
      </c>
      <c r="L43" s="66"/>
      <c r="M43" s="66"/>
      <c r="N43" s="78"/>
      <c r="O43" s="68"/>
      <c r="P43" s="69"/>
      <c r="Q43" s="70"/>
      <c r="R43" s="77"/>
      <c r="S43" s="77"/>
      <c r="T43" s="79"/>
      <c r="U43" s="72"/>
      <c r="V43" s="73"/>
      <c r="W43" s="74"/>
    </row>
    <row r="44" spans="1:23" x14ac:dyDescent="0.4">
      <c r="A44" s="60">
        <v>41</v>
      </c>
      <c r="B44" s="77"/>
      <c r="C44" s="75"/>
      <c r="D44" s="75"/>
      <c r="E44" s="76"/>
      <c r="F44" s="76"/>
      <c r="G44" s="62" t="str">
        <f t="shared" si="0"/>
        <v>0.00%</v>
      </c>
      <c r="H44" s="63" t="str">
        <f t="shared" si="1"/>
        <v>0.00%</v>
      </c>
      <c r="I44" s="64">
        <f t="shared" si="2"/>
        <v>0</v>
      </c>
      <c r="J44" s="65">
        <f t="shared" si="4"/>
        <v>1500</v>
      </c>
      <c r="K44" s="66">
        <f t="shared" si="3"/>
        <v>1500</v>
      </c>
      <c r="L44" s="66"/>
      <c r="M44" s="66"/>
      <c r="N44" s="78"/>
      <c r="O44" s="68"/>
      <c r="P44" s="69"/>
      <c r="Q44" s="70"/>
      <c r="R44" s="77"/>
      <c r="S44" s="77"/>
      <c r="T44" s="79"/>
      <c r="U44" s="72"/>
      <c r="V44" s="73"/>
      <c r="W44" s="74"/>
    </row>
    <row r="45" spans="1:23" x14ac:dyDescent="0.4">
      <c r="A45" s="60">
        <v>42</v>
      </c>
      <c r="B45" s="77"/>
      <c r="C45" s="75"/>
      <c r="D45" s="75"/>
      <c r="E45" s="76"/>
      <c r="F45" s="76"/>
      <c r="G45" s="62" t="str">
        <f t="shared" si="0"/>
        <v>0.00%</v>
      </c>
      <c r="H45" s="63" t="str">
        <f t="shared" si="1"/>
        <v>0.00%</v>
      </c>
      <c r="I45" s="64">
        <f t="shared" si="2"/>
        <v>0</v>
      </c>
      <c r="J45" s="65">
        <f t="shared" si="4"/>
        <v>1500</v>
      </c>
      <c r="K45" s="66">
        <f t="shared" si="3"/>
        <v>1500</v>
      </c>
      <c r="L45" s="66"/>
      <c r="M45" s="66"/>
      <c r="N45" s="78"/>
      <c r="O45" s="68"/>
      <c r="P45" s="69"/>
      <c r="Q45" s="70"/>
      <c r="R45" s="77"/>
      <c r="S45" s="77"/>
      <c r="T45" s="79"/>
      <c r="U45" s="72"/>
      <c r="V45" s="73"/>
      <c r="W45" s="74"/>
    </row>
    <row r="46" spans="1:23" x14ac:dyDescent="0.4">
      <c r="A46" s="60">
        <v>43</v>
      </c>
      <c r="B46" s="77"/>
      <c r="C46" s="75"/>
      <c r="D46" s="75"/>
      <c r="E46" s="76"/>
      <c r="F46" s="76"/>
      <c r="G46" s="62" t="str">
        <f t="shared" si="0"/>
        <v>0.00%</v>
      </c>
      <c r="H46" s="63" t="str">
        <f t="shared" si="1"/>
        <v>0.00%</v>
      </c>
      <c r="I46" s="64">
        <f t="shared" si="2"/>
        <v>0</v>
      </c>
      <c r="J46" s="65">
        <f t="shared" si="4"/>
        <v>1500</v>
      </c>
      <c r="K46" s="66">
        <f t="shared" si="3"/>
        <v>1500</v>
      </c>
      <c r="L46" s="66"/>
      <c r="M46" s="66"/>
      <c r="N46" s="78"/>
      <c r="O46" s="68"/>
      <c r="P46" s="69"/>
      <c r="Q46" s="70"/>
      <c r="R46" s="77"/>
      <c r="S46" s="77"/>
      <c r="T46" s="79"/>
      <c r="U46" s="72"/>
      <c r="V46" s="73"/>
      <c r="W46" s="74"/>
    </row>
    <row r="47" spans="1:23" x14ac:dyDescent="0.4">
      <c r="A47" s="60">
        <v>44</v>
      </c>
      <c r="B47" s="77"/>
      <c r="C47" s="75"/>
      <c r="D47" s="75"/>
      <c r="E47" s="76"/>
      <c r="F47" s="76"/>
      <c r="G47" s="62" t="str">
        <f t="shared" si="0"/>
        <v>0.00%</v>
      </c>
      <c r="H47" s="63" t="str">
        <f t="shared" si="1"/>
        <v>0.00%</v>
      </c>
      <c r="I47" s="64">
        <f t="shared" si="2"/>
        <v>0</v>
      </c>
      <c r="J47" s="65">
        <f t="shared" si="4"/>
        <v>1500</v>
      </c>
      <c r="K47" s="66">
        <f t="shared" si="3"/>
        <v>1500</v>
      </c>
      <c r="L47" s="66"/>
      <c r="M47" s="66"/>
      <c r="N47" s="78"/>
      <c r="O47" s="68"/>
      <c r="P47" s="69"/>
      <c r="Q47" s="70"/>
      <c r="R47" s="77"/>
      <c r="S47" s="77"/>
      <c r="T47" s="79"/>
      <c r="U47" s="72"/>
      <c r="V47" s="73"/>
      <c r="W47" s="74"/>
    </row>
    <row r="48" spans="1:23" x14ac:dyDescent="0.4">
      <c r="A48" s="60">
        <v>45</v>
      </c>
      <c r="B48" s="77"/>
      <c r="C48" s="75"/>
      <c r="D48" s="75"/>
      <c r="E48" s="76"/>
      <c r="F48" s="76"/>
      <c r="G48" s="62" t="str">
        <f t="shared" si="0"/>
        <v>0.00%</v>
      </c>
      <c r="H48" s="63" t="str">
        <f t="shared" si="1"/>
        <v>0.00%</v>
      </c>
      <c r="I48" s="64">
        <f t="shared" si="2"/>
        <v>0</v>
      </c>
      <c r="J48" s="65">
        <f t="shared" si="4"/>
        <v>1500</v>
      </c>
      <c r="K48" s="66">
        <f t="shared" si="3"/>
        <v>1500</v>
      </c>
      <c r="L48" s="66"/>
      <c r="M48" s="66"/>
      <c r="N48" s="78"/>
      <c r="O48" s="68"/>
      <c r="P48" s="69"/>
      <c r="Q48" s="70"/>
      <c r="R48" s="77"/>
      <c r="S48" s="77"/>
      <c r="T48" s="79"/>
      <c r="U48" s="72"/>
      <c r="V48" s="73"/>
      <c r="W48" s="74"/>
    </row>
    <row r="49" spans="1:23" x14ac:dyDescent="0.4">
      <c r="A49" s="60">
        <v>46</v>
      </c>
      <c r="B49" s="77"/>
      <c r="C49" s="75"/>
      <c r="D49" s="75"/>
      <c r="E49" s="76"/>
      <c r="F49" s="76"/>
      <c r="G49" s="62" t="str">
        <f t="shared" si="0"/>
        <v>0.00%</v>
      </c>
      <c r="H49" s="63" t="str">
        <f t="shared" si="1"/>
        <v>0.00%</v>
      </c>
      <c r="I49" s="64">
        <f t="shared" si="2"/>
        <v>0</v>
      </c>
      <c r="J49" s="65">
        <f t="shared" si="4"/>
        <v>1500</v>
      </c>
      <c r="K49" s="66">
        <f t="shared" si="3"/>
        <v>1500</v>
      </c>
      <c r="L49" s="66"/>
      <c r="M49" s="66"/>
      <c r="N49" s="78"/>
      <c r="O49" s="68"/>
      <c r="P49" s="69"/>
      <c r="Q49" s="70"/>
      <c r="R49" s="77"/>
      <c r="S49" s="77"/>
      <c r="T49" s="79"/>
      <c r="U49" s="72"/>
      <c r="V49" s="73"/>
      <c r="W49" s="74"/>
    </row>
    <row r="50" spans="1:23" x14ac:dyDescent="0.4">
      <c r="A50" s="60">
        <v>47</v>
      </c>
      <c r="B50" s="77"/>
      <c r="C50" s="75"/>
      <c r="D50" s="75"/>
      <c r="E50" s="76"/>
      <c r="F50" s="76"/>
      <c r="G50" s="62" t="str">
        <f t="shared" si="0"/>
        <v>0.00%</v>
      </c>
      <c r="H50" s="63" t="str">
        <f t="shared" si="1"/>
        <v>0.00%</v>
      </c>
      <c r="I50" s="64">
        <f t="shared" si="2"/>
        <v>0</v>
      </c>
      <c r="J50" s="65">
        <f t="shared" si="4"/>
        <v>1500</v>
      </c>
      <c r="K50" s="66">
        <f t="shared" si="3"/>
        <v>1500</v>
      </c>
      <c r="L50" s="66"/>
      <c r="M50" s="66"/>
      <c r="N50" s="78"/>
      <c r="O50" s="68"/>
      <c r="P50" s="69"/>
      <c r="Q50" s="70"/>
      <c r="R50" s="77"/>
      <c r="S50" s="77"/>
      <c r="T50" s="79"/>
      <c r="U50" s="72"/>
      <c r="V50" s="73"/>
      <c r="W50" s="74"/>
    </row>
    <row r="51" spans="1:23" x14ac:dyDescent="0.4">
      <c r="A51" s="60">
        <v>48</v>
      </c>
      <c r="B51" s="61"/>
      <c r="C51" s="61"/>
      <c r="D51" s="75"/>
      <c r="E51" s="76"/>
      <c r="F51" s="76"/>
      <c r="G51" s="62" t="str">
        <f t="shared" si="0"/>
        <v>0.00%</v>
      </c>
      <c r="H51" s="63" t="str">
        <f t="shared" si="1"/>
        <v>0.00%</v>
      </c>
      <c r="I51" s="64">
        <f t="shared" si="2"/>
        <v>0</v>
      </c>
      <c r="J51" s="65">
        <f t="shared" si="4"/>
        <v>1500</v>
      </c>
      <c r="K51" s="66">
        <f t="shared" si="3"/>
        <v>1500</v>
      </c>
      <c r="L51" s="66"/>
      <c r="M51" s="66"/>
      <c r="N51" s="78"/>
      <c r="O51" s="68"/>
      <c r="P51" s="69"/>
      <c r="Q51" s="70"/>
      <c r="R51" s="77"/>
      <c r="S51" s="77"/>
      <c r="T51" s="79"/>
      <c r="U51" s="72"/>
      <c r="V51" s="73"/>
      <c r="W51" s="74"/>
    </row>
    <row r="52" spans="1:23" x14ac:dyDescent="0.4">
      <c r="A52" s="60">
        <v>49</v>
      </c>
      <c r="B52" s="61"/>
      <c r="C52" s="61"/>
      <c r="D52" s="75"/>
      <c r="E52" s="76"/>
      <c r="F52" s="76"/>
      <c r="G52" s="62" t="str">
        <f t="shared" si="0"/>
        <v>0.00%</v>
      </c>
      <c r="H52" s="63" t="str">
        <f t="shared" si="1"/>
        <v>0.00%</v>
      </c>
      <c r="I52" s="64">
        <f t="shared" si="2"/>
        <v>0</v>
      </c>
      <c r="J52" s="65">
        <f t="shared" si="4"/>
        <v>1500</v>
      </c>
      <c r="K52" s="66">
        <f t="shared" si="3"/>
        <v>1500</v>
      </c>
      <c r="L52" s="66"/>
      <c r="M52" s="66"/>
      <c r="N52" s="78"/>
      <c r="O52" s="68"/>
      <c r="P52" s="69"/>
      <c r="Q52" s="70"/>
      <c r="R52" s="77"/>
      <c r="S52" s="77"/>
      <c r="T52" s="79"/>
      <c r="U52" s="72"/>
      <c r="V52" s="73"/>
      <c r="W52" s="74"/>
    </row>
    <row r="53" spans="1:23" x14ac:dyDescent="0.4">
      <c r="A53" s="60">
        <v>50</v>
      </c>
      <c r="B53" s="61"/>
      <c r="C53" s="61"/>
      <c r="D53" s="75"/>
      <c r="E53" s="76"/>
      <c r="F53" s="76"/>
      <c r="G53" s="62" t="str">
        <f t="shared" si="0"/>
        <v>0.00%</v>
      </c>
      <c r="H53" s="63" t="str">
        <f t="shared" si="1"/>
        <v>0.00%</v>
      </c>
      <c r="I53" s="64">
        <f t="shared" si="2"/>
        <v>0</v>
      </c>
      <c r="J53" s="65">
        <f t="shared" si="4"/>
        <v>1500</v>
      </c>
      <c r="K53" s="66">
        <f t="shared" si="3"/>
        <v>1500</v>
      </c>
      <c r="L53" s="66"/>
      <c r="M53" s="66"/>
      <c r="N53" s="78"/>
      <c r="O53" s="68"/>
      <c r="P53" s="69"/>
      <c r="Q53" s="70"/>
      <c r="R53" s="77"/>
      <c r="S53" s="77"/>
      <c r="T53" s="79"/>
      <c r="U53" s="72"/>
      <c r="V53" s="73"/>
      <c r="W53" s="74"/>
    </row>
    <row r="54" spans="1:23" x14ac:dyDescent="0.4">
      <c r="A54" s="60">
        <v>51</v>
      </c>
      <c r="B54" s="61"/>
      <c r="C54" s="61"/>
      <c r="D54" s="75"/>
      <c r="E54" s="76"/>
      <c r="F54" s="76"/>
      <c r="G54" s="62" t="str">
        <f t="shared" si="0"/>
        <v>0.00%</v>
      </c>
      <c r="H54" s="63" t="str">
        <f t="shared" si="1"/>
        <v>0.00%</v>
      </c>
      <c r="I54" s="64">
        <f t="shared" si="2"/>
        <v>0</v>
      </c>
      <c r="J54" s="65">
        <f t="shared" si="4"/>
        <v>1500</v>
      </c>
      <c r="K54" s="66">
        <f t="shared" si="3"/>
        <v>1500</v>
      </c>
      <c r="L54" s="66"/>
      <c r="M54" s="66"/>
      <c r="N54" s="78"/>
      <c r="O54" s="68"/>
      <c r="P54" s="69"/>
      <c r="Q54" s="70"/>
      <c r="R54" s="77"/>
      <c r="S54" s="77"/>
      <c r="T54" s="79"/>
      <c r="U54" s="72"/>
      <c r="V54" s="73"/>
      <c r="W54" s="74"/>
    </row>
    <row r="55" spans="1:23" x14ac:dyDescent="0.4">
      <c r="A55" s="60">
        <v>52</v>
      </c>
      <c r="B55" s="61"/>
      <c r="C55" s="61"/>
      <c r="D55" s="75"/>
      <c r="E55" s="76"/>
      <c r="F55" s="76"/>
      <c r="G55" s="62" t="str">
        <f t="shared" si="0"/>
        <v>0.00%</v>
      </c>
      <c r="H55" s="63" t="str">
        <f t="shared" si="1"/>
        <v>0.00%</v>
      </c>
      <c r="I55" s="64">
        <f t="shared" si="2"/>
        <v>0</v>
      </c>
      <c r="J55" s="65">
        <f t="shared" si="4"/>
        <v>1500</v>
      </c>
      <c r="K55" s="66">
        <f t="shared" si="3"/>
        <v>1500</v>
      </c>
      <c r="L55" s="80"/>
      <c r="M55" s="80"/>
      <c r="N55" s="81"/>
      <c r="O55" s="68"/>
      <c r="P55" s="82"/>
      <c r="Q55" s="61"/>
      <c r="R55" s="75"/>
      <c r="S55" s="75"/>
      <c r="T55" s="76"/>
      <c r="U55" s="72"/>
      <c r="V55" s="73"/>
      <c r="W55" s="74"/>
    </row>
    <row r="56" spans="1:23" ht="16.5" thickBot="1" x14ac:dyDescent="0.45">
      <c r="A56" s="60">
        <v>53</v>
      </c>
      <c r="B56" s="61"/>
      <c r="C56" s="61"/>
      <c r="D56" s="75"/>
      <c r="E56" s="76"/>
      <c r="F56" s="76"/>
      <c r="G56" s="62" t="str">
        <f t="shared" si="0"/>
        <v>0.00%</v>
      </c>
      <c r="H56" s="63" t="str">
        <f t="shared" si="1"/>
        <v>0.00%</v>
      </c>
      <c r="I56" s="64">
        <f t="shared" si="2"/>
        <v>0</v>
      </c>
      <c r="J56" s="65">
        <f t="shared" si="4"/>
        <v>1500</v>
      </c>
      <c r="K56" s="66">
        <f t="shared" si="3"/>
        <v>1500</v>
      </c>
      <c r="L56" s="83"/>
      <c r="M56" s="83"/>
      <c r="N56" s="84"/>
      <c r="O56" s="68"/>
      <c r="P56" s="85"/>
      <c r="Q56" s="83"/>
      <c r="R56" s="86"/>
      <c r="S56" s="86"/>
      <c r="T56" s="87"/>
      <c r="U56" s="72"/>
      <c r="V56" s="73"/>
      <c r="W56" s="74"/>
    </row>
    <row r="57" spans="1:23" ht="16.5" thickBot="1" x14ac:dyDescent="0.45">
      <c r="A57" s="88" t="s">
        <v>27</v>
      </c>
      <c r="B57" s="89">
        <f>SUM(B4:B56)</f>
        <v>0</v>
      </c>
      <c r="C57" s="90">
        <f>SUM(C4:C56)</f>
        <v>0</v>
      </c>
      <c r="D57" s="90">
        <f>SUM(D4:D56)</f>
        <v>0</v>
      </c>
      <c r="E57" s="90">
        <f>SUM(E4:E56)</f>
        <v>0</v>
      </c>
      <c r="F57" s="91">
        <f>SUM(F4:F56)</f>
        <v>0</v>
      </c>
      <c r="G57" s="92" t="str">
        <f>IFERROR(SUM(D57/B57),"0.00%")</f>
        <v>0.00%</v>
      </c>
      <c r="H57" s="93" t="str">
        <f>IFERROR(SUM(F57/B57),"0.00%")</f>
        <v>0.00%</v>
      </c>
      <c r="I57" s="94">
        <f>SUM(H57-G57)</f>
        <v>0</v>
      </c>
      <c r="J57" s="95">
        <f>AVERAGE(J37:J56)</f>
        <v>1500</v>
      </c>
      <c r="K57" s="96">
        <f>AVERAGE(K37:K56)</f>
        <v>1500</v>
      </c>
      <c r="L57" s="97">
        <f>SUM(L37:L56)</f>
        <v>0</v>
      </c>
      <c r="M57" s="98">
        <f>SUM(M37:M56)</f>
        <v>0</v>
      </c>
      <c r="N57" s="99" t="e">
        <f>AVERAGE(N4:N56)</f>
        <v>#DIV/0!</v>
      </c>
      <c r="O57" s="100">
        <f>SUM((M57+L57)/J57)</f>
        <v>0</v>
      </c>
      <c r="P57" s="101">
        <f>SUM(P37:P56)</f>
        <v>0</v>
      </c>
      <c r="Q57" s="90">
        <f>SUM(Q37:Q56)</f>
        <v>0</v>
      </c>
      <c r="R57" s="90">
        <f>SUM(R37:R56)</f>
        <v>0</v>
      </c>
      <c r="S57" s="90">
        <f>SUM(S37:S56)</f>
        <v>0</v>
      </c>
      <c r="T57" s="98">
        <f>SUM(T37:T56)</f>
        <v>0</v>
      </c>
      <c r="U57" s="102"/>
      <c r="V57" s="103"/>
      <c r="W57" s="104"/>
    </row>
  </sheetData>
  <mergeCells count="5">
    <mergeCell ref="A1:A2"/>
    <mergeCell ref="B1:I2"/>
    <mergeCell ref="J1:T2"/>
    <mergeCell ref="U1:W1"/>
    <mergeCell ref="U2:W2"/>
  </mergeCells>
  <conditionalFormatting sqref="U4:U5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4:V5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 Q3:W3 I3:M3 I4:I1048576">
    <cfRule type="cellIs" dxfId="13" priority="9" operator="lessThan">
      <formula>0</formula>
    </cfRule>
  </conditionalFormatting>
  <conditionalFormatting sqref="G3:H1048576">
    <cfRule type="cellIs" dxfId="12" priority="7" operator="between">
      <formula>1</formula>
      <formula>9.99</formula>
    </cfRule>
    <cfRule type="cellIs" dxfId="11" priority="8" operator="between">
      <formula>0.0001</formula>
      <formula>0.9999</formula>
    </cfRule>
  </conditionalFormatting>
  <conditionalFormatting sqref="O3 Q3:W3 G3:M3 G4:I1048576">
    <cfRule type="cellIs" dxfId="10" priority="6" operator="equal">
      <formula>0</formula>
    </cfRule>
  </conditionalFormatting>
  <conditionalFormatting sqref="U57:W5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5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4:W5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4:W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3E204-A621-4516-9D50-826EF15A020D}">
  <sheetPr codeName="Sheet6"/>
  <dimension ref="A1:U504"/>
  <sheetViews>
    <sheetView tabSelected="1" topLeftCell="G1" zoomScale="80" zoomScaleNormal="80" workbookViewId="0">
      <selection activeCell="S15" sqref="S15"/>
    </sheetView>
  </sheetViews>
  <sheetFormatPr defaultColWidth="17.54296875" defaultRowHeight="12" x14ac:dyDescent="0.35"/>
  <cols>
    <col min="1" max="1" width="17.54296875" style="55"/>
    <col min="2" max="2" width="18" style="56" customWidth="1"/>
    <col min="3" max="3" width="17.54296875" style="55"/>
    <col min="4" max="4" width="17.54296875" style="54"/>
    <col min="5" max="5" width="22.453125" style="57" customWidth="1"/>
    <col min="6" max="6" width="21.81640625" style="54" customWidth="1"/>
    <col min="7" max="7" width="22.453125" style="54" customWidth="1"/>
    <col min="8" max="8" width="34.1796875" style="54" customWidth="1"/>
    <col min="9" max="9" width="17.54296875" style="54"/>
    <col min="10" max="10" width="17.54296875" style="58"/>
    <col min="11" max="12" width="17.54296875" style="54"/>
    <col min="13" max="13" width="10.54296875" style="54" bestFit="1" customWidth="1"/>
    <col min="14" max="15" width="19.1796875" style="54" bestFit="1" customWidth="1"/>
    <col min="16" max="16" width="27.1796875" style="54" bestFit="1" customWidth="1"/>
    <col min="17" max="17" width="17.54296875" style="54"/>
    <col min="18" max="18" width="21.26953125" style="54" bestFit="1" customWidth="1"/>
    <col min="19" max="19" width="21.453125" style="54" bestFit="1" customWidth="1"/>
    <col min="20" max="16384" width="17.54296875" style="54"/>
  </cols>
  <sheetData>
    <row r="1" spans="1:20" s="38" customFormat="1" ht="15.75" customHeight="1" x14ac:dyDescent="0.35">
      <c r="A1" s="36"/>
      <c r="B1" s="164" t="s">
        <v>55</v>
      </c>
      <c r="C1" s="37"/>
      <c r="D1" s="166" t="s">
        <v>55</v>
      </c>
      <c r="E1" s="174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6"/>
    </row>
    <row r="2" spans="1:20" s="38" customFormat="1" ht="16" x14ac:dyDescent="0.35">
      <c r="A2" s="39"/>
      <c r="B2" s="165"/>
      <c r="C2" s="40"/>
      <c r="D2" s="167"/>
      <c r="E2" s="171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3"/>
    </row>
    <row r="3" spans="1:20" s="38" customFormat="1" ht="16.5" thickBot="1" x14ac:dyDescent="0.4">
      <c r="A3" s="36"/>
      <c r="B3" s="165"/>
      <c r="C3" s="37"/>
      <c r="D3" s="167"/>
      <c r="E3" s="168"/>
      <c r="F3" s="169"/>
      <c r="G3" s="169"/>
      <c r="H3" s="169"/>
      <c r="I3" s="169"/>
      <c r="J3" s="169"/>
      <c r="K3" s="169"/>
      <c r="L3" s="169"/>
      <c r="M3" s="169"/>
      <c r="N3" s="169"/>
      <c r="O3" s="169"/>
      <c r="P3" s="169"/>
      <c r="Q3" s="169"/>
      <c r="R3" s="169"/>
      <c r="S3" s="169"/>
      <c r="T3" s="170"/>
    </row>
    <row r="4" spans="1:20" s="38" customFormat="1" ht="26.15" customHeight="1" thickBot="1" x14ac:dyDescent="0.4">
      <c r="A4" s="41" t="s">
        <v>29</v>
      </c>
      <c r="B4" s="42" t="s">
        <v>30</v>
      </c>
      <c r="C4" s="43" t="s">
        <v>31</v>
      </c>
      <c r="D4" s="128" t="s">
        <v>32</v>
      </c>
      <c r="E4" s="129" t="s">
        <v>33</v>
      </c>
      <c r="F4" s="44" t="s">
        <v>44</v>
      </c>
      <c r="G4" s="44" t="s">
        <v>35</v>
      </c>
      <c r="H4" s="44" t="s">
        <v>36</v>
      </c>
      <c r="I4" s="44" t="s">
        <v>28</v>
      </c>
      <c r="J4" s="45" t="s">
        <v>56</v>
      </c>
      <c r="K4" s="44" t="s">
        <v>57</v>
      </c>
      <c r="L4" s="44" t="s">
        <v>54</v>
      </c>
      <c r="M4" s="44" t="s">
        <v>53</v>
      </c>
      <c r="N4" s="44" t="s">
        <v>37</v>
      </c>
      <c r="O4" s="44" t="s">
        <v>38</v>
      </c>
      <c r="P4" s="44" t="s">
        <v>52</v>
      </c>
      <c r="Q4" s="46" t="s">
        <v>58</v>
      </c>
      <c r="R4" s="46" t="s">
        <v>75</v>
      </c>
      <c r="S4" s="46" t="s">
        <v>76</v>
      </c>
      <c r="T4" s="46" t="s">
        <v>77</v>
      </c>
    </row>
    <row r="5" spans="1:20" s="38" customFormat="1" ht="14.5" x14ac:dyDescent="0.35">
      <c r="A5" s="47" t="str">
        <f>IF('Salesforce Dump'!A2&lt;&gt;"",'Salesforce Dump'!A2,"")</f>
        <v/>
      </c>
      <c r="B5" s="48"/>
      <c r="C5" s="49" t="str">
        <f>IF('Salesforce Dump'!B2&lt;&gt;"",'Salesforce Dump'!B2,"")</f>
        <v/>
      </c>
      <c r="D5" s="48"/>
      <c r="E5" s="50" t="str">
        <f>IF('Salesforce Dump'!C2&lt;&gt;"",'Salesforce Dump'!C2,"")</f>
        <v/>
      </c>
      <c r="F5" s="49" t="str">
        <f>IF('Salesforce Dump'!D2&lt;&gt;"",'Salesforce Dump'!D2,"")</f>
        <v/>
      </c>
      <c r="G5" s="49" t="str">
        <f>IF('Salesforce Dump'!E2&lt;&gt;"",'Salesforce Dump'!E2,"")</f>
        <v/>
      </c>
      <c r="H5" s="49" t="str">
        <f>IF('Salesforce Dump'!G2&lt;&gt;"",'Salesforce Dump'!G2,"")</f>
        <v/>
      </c>
      <c r="I5" s="49" t="str">
        <f>IF('Salesforce Dump'!H2&lt;&gt;"",'Salesforce Dump'!H2,"")</f>
        <v/>
      </c>
      <c r="J5" s="51" t="str">
        <f>IF('Salesforce Dump'!I2&lt;&gt;"",'Salesforce Dump'!I2,"")</f>
        <v/>
      </c>
      <c r="K5" s="51" t="str">
        <f>IF('Salesforce Dump'!J2&lt;&gt;"",'Salesforce Dump'!J2,"")</f>
        <v/>
      </c>
      <c r="L5" s="52" t="str">
        <f>IFERROR(INDEX('OBA Dump'!C:C,MATCH($E5*1,'OBA Dump'!$A:$A,0)),"")</f>
        <v/>
      </c>
      <c r="M5" s="52" t="str">
        <f>IFERROR(INDEX('OBA Dump'!D:D,MATCH($E5*1,'OBA Dump'!$A:$A,0)),"")</f>
        <v/>
      </c>
      <c r="N5" s="52"/>
      <c r="O5" s="52"/>
      <c r="P5" s="53"/>
      <c r="Q5" s="52"/>
      <c r="R5" s="38" t="str">
        <f>_xlfn.IFNA(VLOOKUP(E5,'Pre-Booked Holidays'!A:B,2,0),"")</f>
        <v/>
      </c>
      <c r="S5" s="38" t="str">
        <f>IF(E5="","",IF(IFERROR(VLOOKUP(E5,'Onbase Report'!D:E,2,0),"")&lt;&gt;"","Details in Onbase","No Details"))</f>
        <v/>
      </c>
      <c r="T5" s="38" t="str">
        <f>IF(LEFT('Salesforce Dump'!Q2,5)="BHX10",LEFT('Salesforce Dump'!Q2,5),LEFT('Salesforce Dump'!Q2,4))</f>
        <v/>
      </c>
    </row>
    <row r="6" spans="1:20" s="38" customFormat="1" ht="14.5" x14ac:dyDescent="0.35">
      <c r="A6" s="47" t="str">
        <f>IF('Salesforce Dump'!A3&lt;&gt;"",'Salesforce Dump'!A3,"")</f>
        <v/>
      </c>
      <c r="B6" s="48"/>
      <c r="C6" s="49" t="str">
        <f>IF('Salesforce Dump'!B3&lt;&gt;"",'Salesforce Dump'!B3,"")</f>
        <v/>
      </c>
      <c r="D6" s="48"/>
      <c r="E6" s="50" t="str">
        <f>IF('Salesforce Dump'!C3&lt;&gt;"",'Salesforce Dump'!C3,"")</f>
        <v/>
      </c>
      <c r="F6" s="49" t="str">
        <f>IF('Salesforce Dump'!D3&lt;&gt;"",'Salesforce Dump'!D3,"")</f>
        <v/>
      </c>
      <c r="G6" s="49" t="str">
        <f>IF('Salesforce Dump'!E3&lt;&gt;"",'Salesforce Dump'!E3,"")</f>
        <v/>
      </c>
      <c r="H6" s="49" t="str">
        <f>IF('Salesforce Dump'!G3&lt;&gt;"",'Salesforce Dump'!G3,"")</f>
        <v/>
      </c>
      <c r="I6" s="49" t="str">
        <f>IF('Salesforce Dump'!H3&lt;&gt;"",'Salesforce Dump'!H3,"")</f>
        <v/>
      </c>
      <c r="J6" s="51" t="str">
        <f>IF('Salesforce Dump'!I3&lt;&gt;"",'Salesforce Dump'!I3,"")</f>
        <v/>
      </c>
      <c r="K6" s="51" t="str">
        <f>IF('Salesforce Dump'!J3&lt;&gt;"",'Salesforce Dump'!J3,"")</f>
        <v/>
      </c>
      <c r="L6" s="52" t="str">
        <f>IFERROR(INDEX('OBA Dump'!C:C,MATCH($E6*1,'OBA Dump'!$A:$A,0)),"")</f>
        <v/>
      </c>
      <c r="M6" s="52" t="str">
        <f>IFERROR(INDEX('OBA Dump'!D:D,MATCH($E6*1,'OBA Dump'!$A:$A,0)),"")</f>
        <v/>
      </c>
      <c r="N6" s="52"/>
      <c r="O6" s="52"/>
      <c r="P6" s="53"/>
      <c r="Q6" s="52"/>
      <c r="R6" s="38" t="str">
        <f>_xlfn.IFNA(VLOOKUP(E6,'Pre-Booked Holidays'!A:B,2,0),"")</f>
        <v/>
      </c>
      <c r="S6" s="38" t="str">
        <f>IF(E6="","",IF(IFERROR(VLOOKUP(E6,'Onbase Report'!D:E,2,0),"")&lt;&gt;"","Details in Onbase","No Details"))</f>
        <v/>
      </c>
      <c r="T6" s="38" t="str">
        <f>IF(LEFT('Salesforce Dump'!Q3,5)="BHX10",LEFT('Salesforce Dump'!Q3,5),LEFT('Salesforce Dump'!Q3,4))</f>
        <v/>
      </c>
    </row>
    <row r="7" spans="1:20" s="38" customFormat="1" ht="14.5" x14ac:dyDescent="0.35">
      <c r="A7" s="47" t="str">
        <f>IF('Salesforce Dump'!A4&lt;&gt;"",'Salesforce Dump'!A4,"")</f>
        <v/>
      </c>
      <c r="B7" s="48"/>
      <c r="C7" s="49" t="str">
        <f>IF('Salesforce Dump'!B4&lt;&gt;"",'Salesforce Dump'!B4,"")</f>
        <v/>
      </c>
      <c r="D7" s="48"/>
      <c r="E7" s="50" t="str">
        <f>IF('Salesforce Dump'!C4&lt;&gt;"",'Salesforce Dump'!C4,"")</f>
        <v/>
      </c>
      <c r="F7" s="49" t="str">
        <f>IF('Salesforce Dump'!D4&lt;&gt;"",'Salesforce Dump'!D4,"")</f>
        <v/>
      </c>
      <c r="G7" s="49" t="str">
        <f>IF('Salesforce Dump'!E4&lt;&gt;"",'Salesforce Dump'!E4,"")</f>
        <v/>
      </c>
      <c r="H7" s="49" t="str">
        <f>IF('Salesforce Dump'!G4&lt;&gt;"",'Salesforce Dump'!G4,"")</f>
        <v/>
      </c>
      <c r="I7" s="49" t="str">
        <f>IF('Salesforce Dump'!H4&lt;&gt;"",'Salesforce Dump'!H4,"")</f>
        <v/>
      </c>
      <c r="J7" s="51" t="str">
        <f>IF('Salesforce Dump'!I4&lt;&gt;"",'Salesforce Dump'!I4,"")</f>
        <v/>
      </c>
      <c r="K7" s="51" t="str">
        <f>IF('Salesforce Dump'!J4&lt;&gt;"",'Salesforce Dump'!J4,"")</f>
        <v/>
      </c>
      <c r="L7" s="52" t="str">
        <f>IFERROR(INDEX('OBA Dump'!C:C,MATCH($E7*1,'OBA Dump'!$A:$A,0)),"")</f>
        <v/>
      </c>
      <c r="M7" s="52" t="str">
        <f>IFERROR(INDEX('OBA Dump'!D:D,MATCH($E7*1,'OBA Dump'!$A:$A,0)),"")</f>
        <v/>
      </c>
      <c r="N7" s="52"/>
      <c r="O7" s="52"/>
      <c r="P7" s="53"/>
      <c r="Q7" s="52"/>
      <c r="R7" s="38" t="str">
        <f>_xlfn.IFNA(VLOOKUP(E7,'Pre-Booked Holidays'!A:B,2,0),"")</f>
        <v/>
      </c>
      <c r="S7" s="38" t="str">
        <f>IF(E7="","",IF(IFERROR(VLOOKUP(E7,'Onbase Report'!D:E,2,0),"")&lt;&gt;"","Details in Onbase","No Details"))</f>
        <v/>
      </c>
      <c r="T7" s="38" t="str">
        <f>IF(LEFT('Salesforce Dump'!Q4,5)="BHX10",LEFT('Salesforce Dump'!Q4,5),LEFT('Salesforce Dump'!Q4,4))</f>
        <v/>
      </c>
    </row>
    <row r="8" spans="1:20" s="38" customFormat="1" ht="14.5" x14ac:dyDescent="0.35">
      <c r="A8" s="47" t="str">
        <f>IF('Salesforce Dump'!A5&lt;&gt;"",'Salesforce Dump'!A5,"")</f>
        <v/>
      </c>
      <c r="B8" s="48"/>
      <c r="C8" s="49" t="str">
        <f>IF('Salesforce Dump'!B5&lt;&gt;"",'Salesforce Dump'!B5,"")</f>
        <v/>
      </c>
      <c r="D8" s="48"/>
      <c r="E8" s="50" t="str">
        <f>IF('Salesforce Dump'!C5&lt;&gt;"",'Salesforce Dump'!C5,"")</f>
        <v/>
      </c>
      <c r="F8" s="49" t="str">
        <f>IF('Salesforce Dump'!D5&lt;&gt;"",'Salesforce Dump'!D5,"")</f>
        <v/>
      </c>
      <c r="G8" s="49" t="str">
        <f>IF('Salesforce Dump'!E5&lt;&gt;"",'Salesforce Dump'!E5,"")</f>
        <v/>
      </c>
      <c r="H8" s="49" t="str">
        <f>IF('Salesforce Dump'!G5&lt;&gt;"",'Salesforce Dump'!G5,"")</f>
        <v/>
      </c>
      <c r="I8" s="49" t="str">
        <f>IF('Salesforce Dump'!H5&lt;&gt;"",'Salesforce Dump'!H5,"")</f>
        <v/>
      </c>
      <c r="J8" s="51" t="str">
        <f>IF('Salesforce Dump'!I5&lt;&gt;"",'Salesforce Dump'!I5,"")</f>
        <v/>
      </c>
      <c r="K8" s="51" t="str">
        <f>IF('Salesforce Dump'!J5&lt;&gt;"",'Salesforce Dump'!J5,"")</f>
        <v/>
      </c>
      <c r="L8" s="52" t="str">
        <f>IFERROR(INDEX('OBA Dump'!C:C,MATCH($E8*1,'OBA Dump'!$A:$A,0)),"")</f>
        <v/>
      </c>
      <c r="M8" s="52" t="str">
        <f>IFERROR(INDEX('OBA Dump'!D:D,MATCH($E8*1,'OBA Dump'!$A:$A,0)),"")</f>
        <v/>
      </c>
      <c r="N8" s="52"/>
      <c r="O8" s="52"/>
      <c r="P8" s="53"/>
      <c r="Q8" s="52"/>
      <c r="R8" s="38" t="str">
        <f>_xlfn.IFNA(VLOOKUP(E8,'Pre-Booked Holidays'!A:B,2,0),"")</f>
        <v/>
      </c>
      <c r="S8" s="38" t="str">
        <f>IF(E8="","",IF(IFERROR(VLOOKUP(E8,'Onbase Report'!D:E,2,0),"")&lt;&gt;"","Details in Onbase","No Details"))</f>
        <v/>
      </c>
      <c r="T8" s="38" t="str">
        <f>IF(LEFT('Salesforce Dump'!Q5,5)="BHX10",LEFT('Salesforce Dump'!Q5,5),LEFT('Salesforce Dump'!Q5,4))</f>
        <v/>
      </c>
    </row>
    <row r="9" spans="1:20" s="38" customFormat="1" ht="14.5" x14ac:dyDescent="0.35">
      <c r="A9" s="47" t="str">
        <f>IF('Salesforce Dump'!A6&lt;&gt;"",'Salesforce Dump'!A6,"")</f>
        <v/>
      </c>
      <c r="B9" s="48"/>
      <c r="C9" s="49" t="str">
        <f>IF('Salesforce Dump'!B6&lt;&gt;"",'Salesforce Dump'!B6,"")</f>
        <v/>
      </c>
      <c r="D9" s="48"/>
      <c r="E9" s="50" t="str">
        <f>IF('Salesforce Dump'!C6&lt;&gt;"",'Salesforce Dump'!C6,"")</f>
        <v/>
      </c>
      <c r="F9" s="49" t="str">
        <f>IF('Salesforce Dump'!D6&lt;&gt;"",'Salesforce Dump'!D6,"")</f>
        <v/>
      </c>
      <c r="G9" s="49" t="str">
        <f>IF('Salesforce Dump'!E6&lt;&gt;"",'Salesforce Dump'!E6,"")</f>
        <v/>
      </c>
      <c r="H9" s="49" t="str">
        <f>IF('Salesforce Dump'!G6&lt;&gt;"",'Salesforce Dump'!G6,"")</f>
        <v/>
      </c>
      <c r="I9" s="49" t="str">
        <f>IF('Salesforce Dump'!H6&lt;&gt;"",'Salesforce Dump'!H6,"")</f>
        <v/>
      </c>
      <c r="J9" s="51" t="str">
        <f>IF('Salesforce Dump'!I6&lt;&gt;"",'Salesforce Dump'!I6,"")</f>
        <v/>
      </c>
      <c r="K9" s="51" t="str">
        <f>IF('Salesforce Dump'!J6&lt;&gt;"",'Salesforce Dump'!J6,"")</f>
        <v/>
      </c>
      <c r="L9" s="52" t="str">
        <f>IFERROR(INDEX('OBA Dump'!C:C,MATCH($E9*1,'OBA Dump'!$A:$A,0)),"")</f>
        <v/>
      </c>
      <c r="M9" s="52" t="str">
        <f>IFERROR(INDEX('OBA Dump'!D:D,MATCH($E9*1,'OBA Dump'!$A:$A,0)),"")</f>
        <v/>
      </c>
      <c r="N9" s="52"/>
      <c r="O9" s="52"/>
      <c r="P9" s="53"/>
      <c r="Q9" s="52"/>
      <c r="R9" s="38" t="str">
        <f>_xlfn.IFNA(VLOOKUP(E9,'Pre-Booked Holidays'!A:B,2,0),"")</f>
        <v/>
      </c>
      <c r="S9" s="38" t="str">
        <f>IF(E9="","",IF(IFERROR(VLOOKUP(E9,'Onbase Report'!D:E,2,0),"")&lt;&gt;"","Details in Onbase","No Details"))</f>
        <v/>
      </c>
      <c r="T9" s="38" t="str">
        <f>IF(LEFT('Salesforce Dump'!Q6,5)="BHX10",LEFT('Salesforce Dump'!Q6,5),LEFT('Salesforce Dump'!Q6,4))</f>
        <v/>
      </c>
    </row>
    <row r="10" spans="1:20" s="38" customFormat="1" ht="14.5" x14ac:dyDescent="0.35">
      <c r="A10" s="47" t="str">
        <f>IF('Salesforce Dump'!A7&lt;&gt;"",'Salesforce Dump'!A7,"")</f>
        <v/>
      </c>
      <c r="B10" s="48"/>
      <c r="C10" s="49" t="str">
        <f>IF('Salesforce Dump'!B7&lt;&gt;"",'Salesforce Dump'!B7,"")</f>
        <v/>
      </c>
      <c r="D10" s="48"/>
      <c r="E10" s="50" t="str">
        <f>IF('Salesforce Dump'!C7&lt;&gt;"",'Salesforce Dump'!C7,"")</f>
        <v/>
      </c>
      <c r="F10" s="49" t="str">
        <f>IF('Salesforce Dump'!D7&lt;&gt;"",'Salesforce Dump'!D7,"")</f>
        <v/>
      </c>
      <c r="G10" s="49" t="str">
        <f>IF('Salesforce Dump'!E7&lt;&gt;"",'Salesforce Dump'!E7,"")</f>
        <v/>
      </c>
      <c r="H10" s="49" t="str">
        <f>IF('Salesforce Dump'!G7&lt;&gt;"",'Salesforce Dump'!G7,"")</f>
        <v/>
      </c>
      <c r="I10" s="49" t="str">
        <f>IF('Salesforce Dump'!H7&lt;&gt;"",'Salesforce Dump'!H7,"")</f>
        <v/>
      </c>
      <c r="J10" s="51" t="str">
        <f>IF('Salesforce Dump'!I7&lt;&gt;"",'Salesforce Dump'!I7,"")</f>
        <v/>
      </c>
      <c r="K10" s="51" t="str">
        <f>IF('Salesforce Dump'!J7&lt;&gt;"",'Salesforce Dump'!J7,"")</f>
        <v/>
      </c>
      <c r="L10" s="52" t="str">
        <f>IFERROR(INDEX('OBA Dump'!C:C,MATCH($E10*1,'OBA Dump'!$A:$A,0)),"")</f>
        <v/>
      </c>
      <c r="M10" s="52" t="str">
        <f>IFERROR(INDEX('OBA Dump'!D:D,MATCH($E10*1,'OBA Dump'!$A:$A,0)),"")</f>
        <v/>
      </c>
      <c r="N10" s="52"/>
      <c r="O10" s="52"/>
      <c r="P10" s="53"/>
      <c r="Q10" s="52"/>
      <c r="R10" s="38" t="str">
        <f>_xlfn.IFNA(VLOOKUP(E10,'Pre-Booked Holidays'!A:B,2,0),"")</f>
        <v/>
      </c>
      <c r="S10" s="38" t="str">
        <f>IF(E10="","",IF(IFERROR(VLOOKUP(E10,'Onbase Report'!D:E,2,0),"")&lt;&gt;"","Details in Onbase","No Details"))</f>
        <v/>
      </c>
      <c r="T10" s="38" t="str">
        <f>IF(LEFT('Salesforce Dump'!Q7,5)="BHX10",LEFT('Salesforce Dump'!Q7,5),LEFT('Salesforce Dump'!Q7,4))</f>
        <v/>
      </c>
    </row>
    <row r="11" spans="1:20" s="38" customFormat="1" ht="14.5" x14ac:dyDescent="0.35">
      <c r="A11" s="47" t="str">
        <f>IF('Salesforce Dump'!A8&lt;&gt;"",'Salesforce Dump'!A8,"")</f>
        <v/>
      </c>
      <c r="B11" s="48"/>
      <c r="C11" s="49" t="str">
        <f>IF('Salesforce Dump'!B8&lt;&gt;"",'Salesforce Dump'!B8,"")</f>
        <v/>
      </c>
      <c r="D11" s="48"/>
      <c r="E11" s="50" t="str">
        <f>IF('Salesforce Dump'!C8&lt;&gt;"",'Salesforce Dump'!C8,"")</f>
        <v/>
      </c>
      <c r="F11" s="49" t="str">
        <f>IF('Salesforce Dump'!D8&lt;&gt;"",'Salesforce Dump'!D8,"")</f>
        <v/>
      </c>
      <c r="G11" s="49" t="str">
        <f>IF('Salesforce Dump'!E8&lt;&gt;"",'Salesforce Dump'!E8,"")</f>
        <v/>
      </c>
      <c r="H11" s="49" t="str">
        <f>IF('Salesforce Dump'!G8&lt;&gt;"",'Salesforce Dump'!G8,"")</f>
        <v/>
      </c>
      <c r="I11" s="49" t="str">
        <f>IF('Salesforce Dump'!H8&lt;&gt;"",'Salesforce Dump'!H8,"")</f>
        <v/>
      </c>
      <c r="J11" s="51" t="str">
        <f>IF('Salesforce Dump'!I8&lt;&gt;"",'Salesforce Dump'!I8,"")</f>
        <v/>
      </c>
      <c r="K11" s="51" t="str">
        <f>IF('Salesforce Dump'!J8&lt;&gt;"",'Salesforce Dump'!J8,"")</f>
        <v/>
      </c>
      <c r="L11" s="52" t="str">
        <f>IFERROR(INDEX('OBA Dump'!C:C,MATCH($E11*1,'OBA Dump'!$A:$A,0)),"")</f>
        <v/>
      </c>
      <c r="M11" s="52" t="str">
        <f>IFERROR(INDEX('OBA Dump'!D:D,MATCH($E11*1,'OBA Dump'!$A:$A,0)),"")</f>
        <v/>
      </c>
      <c r="N11" s="52"/>
      <c r="O11" s="52"/>
      <c r="P11" s="53"/>
      <c r="Q11" s="52"/>
      <c r="R11" s="38" t="str">
        <f>_xlfn.IFNA(VLOOKUP(E11,'Pre-Booked Holidays'!A:B,2,0),"")</f>
        <v/>
      </c>
      <c r="S11" s="38" t="str">
        <f>IF(E11="","",IF(IFERROR(VLOOKUP(E11,'Onbase Report'!D:E,2,0),"")&lt;&gt;"","Details in Onbase","No Details"))</f>
        <v/>
      </c>
      <c r="T11" s="38" t="str">
        <f>IF(LEFT('Salesforce Dump'!Q8,5)="BHX10",LEFT('Salesforce Dump'!Q8,5),LEFT('Salesforce Dump'!Q8,4))</f>
        <v/>
      </c>
    </row>
    <row r="12" spans="1:20" s="38" customFormat="1" ht="14.5" x14ac:dyDescent="0.35">
      <c r="A12" s="47" t="str">
        <f>IF('Salesforce Dump'!A9&lt;&gt;"",'Salesforce Dump'!A9,"")</f>
        <v/>
      </c>
      <c r="B12" s="48"/>
      <c r="C12" s="49" t="str">
        <f>IF('Salesforce Dump'!B9&lt;&gt;"",'Salesforce Dump'!B9,"")</f>
        <v/>
      </c>
      <c r="D12" s="48"/>
      <c r="E12" s="50" t="str">
        <f>IF('Salesforce Dump'!C9&lt;&gt;"",'Salesforce Dump'!C9,"")</f>
        <v/>
      </c>
      <c r="F12" s="49" t="str">
        <f>IF('Salesforce Dump'!D9&lt;&gt;"",'Salesforce Dump'!D9,"")</f>
        <v/>
      </c>
      <c r="G12" s="49" t="str">
        <f>IF('Salesforce Dump'!E9&lt;&gt;"",'Salesforce Dump'!E9,"")</f>
        <v/>
      </c>
      <c r="H12" s="49" t="str">
        <f>IF('Salesforce Dump'!G9&lt;&gt;"",'Salesforce Dump'!G9,"")</f>
        <v/>
      </c>
      <c r="I12" s="49" t="str">
        <f>IF('Salesforce Dump'!H9&lt;&gt;"",'Salesforce Dump'!H9,"")</f>
        <v/>
      </c>
      <c r="J12" s="51" t="str">
        <f>IF('Salesforce Dump'!I9&lt;&gt;"",'Salesforce Dump'!I9,"")</f>
        <v/>
      </c>
      <c r="K12" s="51" t="str">
        <f>IF('Salesforce Dump'!J9&lt;&gt;"",'Salesforce Dump'!J9,"")</f>
        <v/>
      </c>
      <c r="L12" s="52" t="str">
        <f>IFERROR(INDEX('OBA Dump'!C:C,MATCH($E12*1,'OBA Dump'!$A:$A,0)),"")</f>
        <v/>
      </c>
      <c r="M12" s="52" t="str">
        <f>IFERROR(INDEX('OBA Dump'!D:D,MATCH($E12*1,'OBA Dump'!$A:$A,0)),"")</f>
        <v/>
      </c>
      <c r="N12" s="52"/>
      <c r="O12" s="52"/>
      <c r="P12" s="53"/>
      <c r="Q12" s="52"/>
      <c r="R12" s="38" t="str">
        <f>_xlfn.IFNA(VLOOKUP(E12,'Pre-Booked Holidays'!A:B,2,0),"")</f>
        <v/>
      </c>
      <c r="S12" s="38" t="str">
        <f>IF(E12="","",IF(IFERROR(VLOOKUP(E12,'Onbase Report'!D:E,2,0),"")&lt;&gt;"","Details in Onbase","No Details"))</f>
        <v/>
      </c>
      <c r="T12" s="38" t="str">
        <f>IF(LEFT('Salesforce Dump'!Q9,5)="BHX10",LEFT('Salesforce Dump'!Q9,5),LEFT('Salesforce Dump'!Q9,4))</f>
        <v/>
      </c>
    </row>
    <row r="13" spans="1:20" s="38" customFormat="1" ht="14.5" x14ac:dyDescent="0.35">
      <c r="A13" s="47" t="str">
        <f>IF('Salesforce Dump'!A10&lt;&gt;"",'Salesforce Dump'!A10,"")</f>
        <v/>
      </c>
      <c r="B13" s="48"/>
      <c r="C13" s="49" t="str">
        <f>IF('Salesforce Dump'!B10&lt;&gt;"",'Salesforce Dump'!B10,"")</f>
        <v/>
      </c>
      <c r="D13" s="48"/>
      <c r="E13" s="50" t="str">
        <f>IF('Salesforce Dump'!C10&lt;&gt;"",'Salesforce Dump'!C10,"")</f>
        <v/>
      </c>
      <c r="F13" s="49" t="str">
        <f>IF('Salesforce Dump'!D10&lt;&gt;"",'Salesforce Dump'!D10,"")</f>
        <v/>
      </c>
      <c r="G13" s="49" t="str">
        <f>IF('Salesforce Dump'!E10&lt;&gt;"",'Salesforce Dump'!E10,"")</f>
        <v/>
      </c>
      <c r="H13" s="49" t="str">
        <f>IF('Salesforce Dump'!G10&lt;&gt;"",'Salesforce Dump'!G10,"")</f>
        <v/>
      </c>
      <c r="I13" s="49" t="str">
        <f>IF('Salesforce Dump'!H10&lt;&gt;"",'Salesforce Dump'!H10,"")</f>
        <v/>
      </c>
      <c r="J13" s="51" t="str">
        <f>IF('Salesforce Dump'!I10&lt;&gt;"",'Salesforce Dump'!I10,"")</f>
        <v/>
      </c>
      <c r="K13" s="51" t="str">
        <f>IF('Salesforce Dump'!J10&lt;&gt;"",'Salesforce Dump'!J10,"")</f>
        <v/>
      </c>
      <c r="L13" s="52" t="str">
        <f>IFERROR(INDEX('OBA Dump'!C:C,MATCH($E13*1,'OBA Dump'!$A:$A,0)),"")</f>
        <v/>
      </c>
      <c r="M13" s="52" t="str">
        <f>IFERROR(INDEX('OBA Dump'!D:D,MATCH($E13*1,'OBA Dump'!$A:$A,0)),"")</f>
        <v/>
      </c>
      <c r="N13" s="52"/>
      <c r="O13" s="52"/>
      <c r="P13" s="53"/>
      <c r="Q13" s="52"/>
      <c r="R13" s="38" t="str">
        <f>_xlfn.IFNA(VLOOKUP(E13,'Pre-Booked Holidays'!A:B,2,0),"")</f>
        <v/>
      </c>
      <c r="S13" s="38" t="str">
        <f>IF(E13="","",IF(IFERROR(VLOOKUP(E13,'Onbase Report'!D:E,2,0),"")&lt;&gt;"","Details in Onbase","No Details"))</f>
        <v/>
      </c>
      <c r="T13" s="38" t="str">
        <f>IF(LEFT('Salesforce Dump'!Q10,5)="BHX10",LEFT('Salesforce Dump'!Q10,5),LEFT('Salesforce Dump'!Q10,4))</f>
        <v/>
      </c>
    </row>
    <row r="14" spans="1:20" s="38" customFormat="1" ht="14.5" x14ac:dyDescent="0.35">
      <c r="A14" s="47" t="str">
        <f>IF('Salesforce Dump'!A11&lt;&gt;"",'Salesforce Dump'!A11,"")</f>
        <v/>
      </c>
      <c r="B14" s="48"/>
      <c r="C14" s="49" t="str">
        <f>IF('Salesforce Dump'!B11&lt;&gt;"",'Salesforce Dump'!B11,"")</f>
        <v/>
      </c>
      <c r="D14" s="48"/>
      <c r="E14" s="50" t="str">
        <f>IF('Salesforce Dump'!C11&lt;&gt;"",'Salesforce Dump'!C11,"")</f>
        <v/>
      </c>
      <c r="F14" s="49" t="str">
        <f>IF('Salesforce Dump'!D11&lt;&gt;"",'Salesforce Dump'!D11,"")</f>
        <v/>
      </c>
      <c r="G14" s="49" t="str">
        <f>IF('Salesforce Dump'!E11&lt;&gt;"",'Salesforce Dump'!E11,"")</f>
        <v/>
      </c>
      <c r="H14" s="49" t="str">
        <f>IF('Salesforce Dump'!G11&lt;&gt;"",'Salesforce Dump'!G11,"")</f>
        <v/>
      </c>
      <c r="I14" s="49" t="str">
        <f>IF('Salesforce Dump'!H11&lt;&gt;"",'Salesforce Dump'!H11,"")</f>
        <v/>
      </c>
      <c r="J14" s="51" t="str">
        <f>IF('Salesforce Dump'!I11&lt;&gt;"",'Salesforce Dump'!I11,"")</f>
        <v/>
      </c>
      <c r="K14" s="51" t="str">
        <f>IF('Salesforce Dump'!J11&lt;&gt;"",'Salesforce Dump'!J11,"")</f>
        <v/>
      </c>
      <c r="L14" s="52" t="str">
        <f>IFERROR(INDEX('OBA Dump'!C:C,MATCH($E14*1,'OBA Dump'!$A:$A,0)),"")</f>
        <v/>
      </c>
      <c r="M14" s="52" t="str">
        <f>IFERROR(INDEX('OBA Dump'!D:D,MATCH($E14*1,'OBA Dump'!$A:$A,0)),"")</f>
        <v/>
      </c>
      <c r="N14" s="52"/>
      <c r="O14" s="52"/>
      <c r="P14" s="53"/>
      <c r="Q14" s="52"/>
      <c r="R14" s="38" t="str">
        <f>_xlfn.IFNA(VLOOKUP(E14,'Pre-Booked Holidays'!A:B,2,0),"")</f>
        <v/>
      </c>
      <c r="S14" s="38" t="str">
        <f>IF(E14="","",IF(IFERROR(VLOOKUP(E14,'Onbase Report'!D:E,2,0),"")&lt;&gt;"","Details in Onbase","No Details"))</f>
        <v/>
      </c>
      <c r="T14" s="38" t="str">
        <f>IF(LEFT('Salesforce Dump'!Q11,5)="BHX10",LEFT('Salesforce Dump'!Q11,5),LEFT('Salesforce Dump'!Q11,4))</f>
        <v/>
      </c>
    </row>
    <row r="15" spans="1:20" s="38" customFormat="1" ht="14.5" x14ac:dyDescent="0.35">
      <c r="A15" s="47" t="str">
        <f>IF('Salesforce Dump'!A12&lt;&gt;"",'Salesforce Dump'!A12,"")</f>
        <v/>
      </c>
      <c r="B15" s="48"/>
      <c r="C15" s="49" t="str">
        <f>IF('Salesforce Dump'!B12&lt;&gt;"",'Salesforce Dump'!B12,"")</f>
        <v/>
      </c>
      <c r="D15" s="48"/>
      <c r="E15" s="50" t="str">
        <f>IF('Salesforce Dump'!C12&lt;&gt;"",'Salesforce Dump'!C12,"")</f>
        <v/>
      </c>
      <c r="F15" s="49" t="str">
        <f>IF('Salesforce Dump'!D12&lt;&gt;"",'Salesforce Dump'!D12,"")</f>
        <v/>
      </c>
      <c r="G15" s="49" t="str">
        <f>IF('Salesforce Dump'!E12&lt;&gt;"",'Salesforce Dump'!E12,"")</f>
        <v/>
      </c>
      <c r="H15" s="49" t="str">
        <f>IF('Salesforce Dump'!G12&lt;&gt;"",'Salesforce Dump'!G12,"")</f>
        <v/>
      </c>
      <c r="I15" s="49" t="str">
        <f>IF('Salesforce Dump'!H12&lt;&gt;"",'Salesforce Dump'!H12,"")</f>
        <v/>
      </c>
      <c r="J15" s="51" t="str">
        <f>IF('Salesforce Dump'!I12&lt;&gt;"",'Salesforce Dump'!I12,"")</f>
        <v/>
      </c>
      <c r="K15" s="51" t="str">
        <f>IF('Salesforce Dump'!J12&lt;&gt;"",'Salesforce Dump'!J12,"")</f>
        <v/>
      </c>
      <c r="L15" s="52" t="str">
        <f>IFERROR(INDEX('OBA Dump'!C:C,MATCH($E15*1,'OBA Dump'!$A:$A,0)),"")</f>
        <v/>
      </c>
      <c r="M15" s="52" t="str">
        <f>IFERROR(INDEX('OBA Dump'!D:D,MATCH($E15*1,'OBA Dump'!$A:$A,0)),"")</f>
        <v/>
      </c>
      <c r="N15" s="52"/>
      <c r="O15" s="52"/>
      <c r="P15" s="53"/>
      <c r="Q15" s="52"/>
      <c r="R15" s="38" t="str">
        <f>_xlfn.IFNA(VLOOKUP(E15,'Pre-Booked Holidays'!A:B,2,0),"")</f>
        <v/>
      </c>
      <c r="S15" s="38" t="str">
        <f>IF(E15="","",IF(IFERROR(VLOOKUP(E15,'Onbase Report'!D:E,2,0),"")&lt;&gt;"","Details in Onbase","No Details"))</f>
        <v/>
      </c>
      <c r="T15" s="38" t="str">
        <f>IF(LEFT('Salesforce Dump'!Q12,5)="BHX10",LEFT('Salesforce Dump'!Q12,5),LEFT('Salesforce Dump'!Q12,4))</f>
        <v/>
      </c>
    </row>
    <row r="16" spans="1:20" s="38" customFormat="1" ht="14.5" x14ac:dyDescent="0.35">
      <c r="A16" s="47" t="str">
        <f>IF('Salesforce Dump'!A13&lt;&gt;"",'Salesforce Dump'!A13,"")</f>
        <v/>
      </c>
      <c r="B16" s="48"/>
      <c r="C16" s="49" t="str">
        <f>IF('Salesforce Dump'!B13&lt;&gt;"",'Salesforce Dump'!B13,"")</f>
        <v/>
      </c>
      <c r="D16" s="48"/>
      <c r="E16" s="50" t="str">
        <f>IF('Salesforce Dump'!C13&lt;&gt;"",'Salesforce Dump'!C13,"")</f>
        <v/>
      </c>
      <c r="F16" s="49" t="str">
        <f>IF('Salesforce Dump'!D13&lt;&gt;"",'Salesforce Dump'!D13,"")</f>
        <v/>
      </c>
      <c r="G16" s="49" t="str">
        <f>IF('Salesforce Dump'!E13&lt;&gt;"",'Salesforce Dump'!E13,"")</f>
        <v/>
      </c>
      <c r="H16" s="49" t="str">
        <f>IF('Salesforce Dump'!G13&lt;&gt;"",'Salesforce Dump'!G13,"")</f>
        <v/>
      </c>
      <c r="I16" s="49" t="str">
        <f>IF('Salesforce Dump'!H13&lt;&gt;"",'Salesforce Dump'!H13,"")</f>
        <v/>
      </c>
      <c r="J16" s="51" t="str">
        <f>IF('Salesforce Dump'!I13&lt;&gt;"",'Salesforce Dump'!I13,"")</f>
        <v/>
      </c>
      <c r="K16" s="51" t="str">
        <f>IF('Salesforce Dump'!J13&lt;&gt;"",'Salesforce Dump'!J13,"")</f>
        <v/>
      </c>
      <c r="L16" s="52" t="str">
        <f>IFERROR(INDEX('OBA Dump'!C:C,MATCH($E16*1,'OBA Dump'!$A:$A,0)),"")</f>
        <v/>
      </c>
      <c r="M16" s="52" t="str">
        <f>IFERROR(INDEX('OBA Dump'!D:D,MATCH($E16*1,'OBA Dump'!$A:$A,0)),"")</f>
        <v/>
      </c>
      <c r="N16" s="52"/>
      <c r="O16" s="52"/>
      <c r="P16" s="53"/>
      <c r="Q16" s="52"/>
      <c r="R16" s="38" t="str">
        <f>_xlfn.IFNA(VLOOKUP(E16,'Pre-Booked Holidays'!A:B,2,0),"")</f>
        <v/>
      </c>
      <c r="S16" s="38" t="str">
        <f>IF(E16="","",IF(IFERROR(VLOOKUP(E16,'Onbase Report'!D:E,2,0),"")&lt;&gt;"","Details in Onbase","No Details"))</f>
        <v/>
      </c>
      <c r="T16" s="38" t="str">
        <f>IF(LEFT('Salesforce Dump'!Q13,5)="BHX10",LEFT('Salesforce Dump'!Q13,5),LEFT('Salesforce Dump'!Q13,4))</f>
        <v/>
      </c>
    </row>
    <row r="17" spans="1:20" s="38" customFormat="1" ht="14.5" x14ac:dyDescent="0.35">
      <c r="A17" s="47" t="str">
        <f>IF('Salesforce Dump'!A14&lt;&gt;"",'Salesforce Dump'!A14,"")</f>
        <v/>
      </c>
      <c r="B17" s="48"/>
      <c r="C17" s="49" t="str">
        <f>IF('Salesforce Dump'!B14&lt;&gt;"",'Salesforce Dump'!B14,"")</f>
        <v/>
      </c>
      <c r="D17" s="48"/>
      <c r="E17" s="50" t="str">
        <f>IF('Salesforce Dump'!C14&lt;&gt;"",'Salesforce Dump'!C14,"")</f>
        <v/>
      </c>
      <c r="F17" s="49" t="str">
        <f>IF('Salesforce Dump'!D14&lt;&gt;"",'Salesforce Dump'!D14,"")</f>
        <v/>
      </c>
      <c r="G17" s="49" t="str">
        <f>IF('Salesforce Dump'!E14&lt;&gt;"",'Salesforce Dump'!E14,"")</f>
        <v/>
      </c>
      <c r="H17" s="49" t="str">
        <f>IF('Salesforce Dump'!G14&lt;&gt;"",'Salesforce Dump'!G14,"")</f>
        <v/>
      </c>
      <c r="I17" s="49" t="str">
        <f>IF('Salesforce Dump'!H14&lt;&gt;"",'Salesforce Dump'!H14,"")</f>
        <v/>
      </c>
      <c r="J17" s="51" t="str">
        <f>IF('Salesforce Dump'!I14&lt;&gt;"",'Salesforce Dump'!I14,"")</f>
        <v/>
      </c>
      <c r="K17" s="51" t="str">
        <f>IF('Salesforce Dump'!J14&lt;&gt;"",'Salesforce Dump'!J14,"")</f>
        <v/>
      </c>
      <c r="L17" s="52" t="str">
        <f>IFERROR(INDEX('OBA Dump'!C:C,MATCH($E17*1,'OBA Dump'!$A:$A,0)),"")</f>
        <v/>
      </c>
      <c r="M17" s="52" t="str">
        <f>IFERROR(INDEX('OBA Dump'!D:D,MATCH($E17*1,'OBA Dump'!$A:$A,0)),"")</f>
        <v/>
      </c>
      <c r="N17" s="52"/>
      <c r="O17" s="52"/>
      <c r="P17" s="53"/>
      <c r="Q17" s="52"/>
      <c r="R17" s="38" t="str">
        <f>_xlfn.IFNA(VLOOKUP(E17,'Pre-Booked Holidays'!A:B,2,0),"")</f>
        <v/>
      </c>
      <c r="S17" s="38" t="str">
        <f>IF(E17="","",IF(IFERROR(VLOOKUP(E17,'Onbase Report'!D:E,2,0),"")&lt;&gt;"","Details in Onbase","No Details"))</f>
        <v/>
      </c>
      <c r="T17" s="38" t="str">
        <f>IF(LEFT('Salesforce Dump'!Q14,5)="BHX10",LEFT('Salesforce Dump'!Q14,5),LEFT('Salesforce Dump'!Q14,4))</f>
        <v/>
      </c>
    </row>
    <row r="18" spans="1:20" s="38" customFormat="1" ht="14.5" x14ac:dyDescent="0.35">
      <c r="A18" s="47" t="str">
        <f>IF('Salesforce Dump'!A15&lt;&gt;"",'Salesforce Dump'!A15,"")</f>
        <v/>
      </c>
      <c r="B18" s="48"/>
      <c r="C18" s="49" t="str">
        <f>IF('Salesforce Dump'!B15&lt;&gt;"",'Salesforce Dump'!B15,"")</f>
        <v/>
      </c>
      <c r="D18" s="48"/>
      <c r="E18" s="50" t="str">
        <f>IF('Salesforce Dump'!C15&lt;&gt;"",'Salesforce Dump'!C15,"")</f>
        <v/>
      </c>
      <c r="F18" s="49" t="str">
        <f>IF('Salesforce Dump'!D15&lt;&gt;"",'Salesforce Dump'!D15,"")</f>
        <v/>
      </c>
      <c r="G18" s="49" t="str">
        <f>IF('Salesforce Dump'!E15&lt;&gt;"",'Salesforce Dump'!E15,"")</f>
        <v/>
      </c>
      <c r="H18" s="49" t="str">
        <f>IF('Salesforce Dump'!G15&lt;&gt;"",'Salesforce Dump'!G15,"")</f>
        <v/>
      </c>
      <c r="I18" s="49" t="str">
        <f>IF('Salesforce Dump'!H15&lt;&gt;"",'Salesforce Dump'!H15,"")</f>
        <v/>
      </c>
      <c r="J18" s="51" t="str">
        <f>IF('Salesforce Dump'!I15&lt;&gt;"",'Salesforce Dump'!I15,"")</f>
        <v/>
      </c>
      <c r="K18" s="51" t="str">
        <f>IF('Salesforce Dump'!J15&lt;&gt;"",'Salesforce Dump'!J15,"")</f>
        <v/>
      </c>
      <c r="L18" s="52" t="str">
        <f>IFERROR(INDEX('OBA Dump'!C:C,MATCH($E18*1,'OBA Dump'!$A:$A,0)),"")</f>
        <v/>
      </c>
      <c r="M18" s="52" t="str">
        <f>IFERROR(INDEX('OBA Dump'!D:D,MATCH($E18*1,'OBA Dump'!$A:$A,0)),"")</f>
        <v/>
      </c>
      <c r="N18" s="52"/>
      <c r="O18" s="52"/>
      <c r="P18" s="53"/>
      <c r="Q18" s="52"/>
      <c r="R18" s="38" t="str">
        <f>_xlfn.IFNA(VLOOKUP(E18,'Pre-Booked Holidays'!A:B,2,0),"")</f>
        <v/>
      </c>
      <c r="S18" s="38" t="str">
        <f>IF(E18="","",IF(IFERROR(VLOOKUP(E18,'Onbase Report'!D:E,2,0),"")&lt;&gt;"","Details in Onbase","No Details"))</f>
        <v/>
      </c>
      <c r="T18" s="38" t="str">
        <f>IF(LEFT('Salesforce Dump'!Q15,5)="BHX10",LEFT('Salesforce Dump'!Q15,5),LEFT('Salesforce Dump'!Q15,4))</f>
        <v/>
      </c>
    </row>
    <row r="19" spans="1:20" s="38" customFormat="1" ht="14.5" x14ac:dyDescent="0.35">
      <c r="A19" s="47" t="str">
        <f>IF('Salesforce Dump'!A16&lt;&gt;"",'Salesforce Dump'!A16,"")</f>
        <v/>
      </c>
      <c r="B19" s="48"/>
      <c r="C19" s="49" t="str">
        <f>IF('Salesforce Dump'!B16&lt;&gt;"",'Salesforce Dump'!B16,"")</f>
        <v/>
      </c>
      <c r="D19" s="48"/>
      <c r="E19" s="50" t="str">
        <f>IF('Salesforce Dump'!C16&lt;&gt;"",'Salesforce Dump'!C16,"")</f>
        <v/>
      </c>
      <c r="F19" s="49" t="str">
        <f>IF('Salesforce Dump'!D16&lt;&gt;"",'Salesforce Dump'!D16,"")</f>
        <v/>
      </c>
      <c r="G19" s="49" t="str">
        <f>IF('Salesforce Dump'!E16&lt;&gt;"",'Salesforce Dump'!E16,"")</f>
        <v/>
      </c>
      <c r="H19" s="49" t="str">
        <f>IF('Salesforce Dump'!G16&lt;&gt;"",'Salesforce Dump'!G16,"")</f>
        <v/>
      </c>
      <c r="I19" s="49" t="str">
        <f>IF('Salesforce Dump'!H16&lt;&gt;"",'Salesforce Dump'!H16,"")</f>
        <v/>
      </c>
      <c r="J19" s="51" t="str">
        <f>IF('Salesforce Dump'!I16&lt;&gt;"",'Salesforce Dump'!I16,"")</f>
        <v/>
      </c>
      <c r="K19" s="51" t="str">
        <f>IF('Salesforce Dump'!J16&lt;&gt;"",'Salesforce Dump'!J16,"")</f>
        <v/>
      </c>
      <c r="L19" s="52" t="str">
        <f>IFERROR(INDEX('OBA Dump'!C:C,MATCH($E19*1,'OBA Dump'!$A:$A,0)),"")</f>
        <v/>
      </c>
      <c r="M19" s="52" t="str">
        <f>IFERROR(INDEX('OBA Dump'!D:D,MATCH($E19*1,'OBA Dump'!$A:$A,0)),"")</f>
        <v/>
      </c>
      <c r="N19" s="52"/>
      <c r="O19" s="52"/>
      <c r="P19" s="53"/>
      <c r="Q19" s="52"/>
      <c r="R19" s="38" t="str">
        <f>_xlfn.IFNA(VLOOKUP(E19,'Pre-Booked Holidays'!A:B,2,0),"")</f>
        <v/>
      </c>
      <c r="S19" s="38" t="str">
        <f>IF(E19="","",IF(IFERROR(VLOOKUP(E19,'Onbase Report'!D:E,2,0),"")&lt;&gt;"","Details in Onbase","No Details"))</f>
        <v/>
      </c>
      <c r="T19" s="38" t="str">
        <f>IF(LEFT('Salesforce Dump'!Q16,5)="BHX10",LEFT('Salesforce Dump'!Q16,5),LEFT('Salesforce Dump'!Q16,4))</f>
        <v/>
      </c>
    </row>
    <row r="20" spans="1:20" s="38" customFormat="1" ht="14.5" x14ac:dyDescent="0.35">
      <c r="A20" s="47" t="str">
        <f>IF('Salesforce Dump'!A17&lt;&gt;"",'Salesforce Dump'!A17,"")</f>
        <v/>
      </c>
      <c r="B20" s="48"/>
      <c r="C20" s="49" t="str">
        <f>IF('Salesforce Dump'!B17&lt;&gt;"",'Salesforce Dump'!B17,"")</f>
        <v/>
      </c>
      <c r="D20" s="48"/>
      <c r="E20" s="50" t="str">
        <f>IF('Salesforce Dump'!C17&lt;&gt;"",'Salesforce Dump'!C17,"")</f>
        <v/>
      </c>
      <c r="F20" s="49" t="str">
        <f>IF('Salesforce Dump'!D17&lt;&gt;"",'Salesforce Dump'!D17,"")</f>
        <v/>
      </c>
      <c r="G20" s="49" t="str">
        <f>IF('Salesforce Dump'!E17&lt;&gt;"",'Salesforce Dump'!E17,"")</f>
        <v/>
      </c>
      <c r="H20" s="49" t="str">
        <f>IF('Salesforce Dump'!G17&lt;&gt;"",'Salesforce Dump'!G17,"")</f>
        <v/>
      </c>
      <c r="I20" s="49" t="str">
        <f>IF('Salesforce Dump'!H17&lt;&gt;"",'Salesforce Dump'!H17,"")</f>
        <v/>
      </c>
      <c r="J20" s="51" t="str">
        <f>IF('Salesforce Dump'!I17&lt;&gt;"",'Salesforce Dump'!I17,"")</f>
        <v/>
      </c>
      <c r="K20" s="51" t="str">
        <f>IF('Salesforce Dump'!J17&lt;&gt;"",'Salesforce Dump'!J17,"")</f>
        <v/>
      </c>
      <c r="L20" s="52" t="str">
        <f>IFERROR(INDEX('OBA Dump'!C:C,MATCH($E20*1,'OBA Dump'!$A:$A,0)),"")</f>
        <v/>
      </c>
      <c r="M20" s="52" t="str">
        <f>IFERROR(INDEX('OBA Dump'!D:D,MATCH($E20*1,'OBA Dump'!$A:$A,0)),"")</f>
        <v/>
      </c>
      <c r="N20" s="52"/>
      <c r="O20" s="52"/>
      <c r="P20" s="53"/>
      <c r="Q20" s="52"/>
      <c r="R20" s="38" t="str">
        <f>_xlfn.IFNA(VLOOKUP(E20,'Pre-Booked Holidays'!A:B,2,0),"")</f>
        <v/>
      </c>
      <c r="S20" s="38" t="str">
        <f>IF(E20="","",IF(IFERROR(VLOOKUP(E20,'Onbase Report'!D:E,2,0),"")&lt;&gt;"","Details in Onbase","No Details"))</f>
        <v/>
      </c>
      <c r="T20" s="38" t="str">
        <f>IF(LEFT('Salesforce Dump'!Q17,5)="BHX10",LEFT('Salesforce Dump'!Q17,5),LEFT('Salesforce Dump'!Q17,4))</f>
        <v/>
      </c>
    </row>
    <row r="21" spans="1:20" s="38" customFormat="1" ht="14.5" x14ac:dyDescent="0.35">
      <c r="A21" s="47" t="str">
        <f>IF('Salesforce Dump'!A18&lt;&gt;"",'Salesforce Dump'!A18,"")</f>
        <v/>
      </c>
      <c r="B21" s="48"/>
      <c r="C21" s="49" t="str">
        <f>IF('Salesforce Dump'!B18&lt;&gt;"",'Salesforce Dump'!B18,"")</f>
        <v/>
      </c>
      <c r="D21" s="48"/>
      <c r="E21" s="50" t="str">
        <f>IF('Salesforce Dump'!C18&lt;&gt;"",'Salesforce Dump'!C18,"")</f>
        <v/>
      </c>
      <c r="F21" s="49" t="str">
        <f>IF('Salesforce Dump'!D18&lt;&gt;"",'Salesforce Dump'!D18,"")</f>
        <v/>
      </c>
      <c r="G21" s="49" t="str">
        <f>IF('Salesforce Dump'!E18&lt;&gt;"",'Salesforce Dump'!E18,"")</f>
        <v/>
      </c>
      <c r="H21" s="49" t="str">
        <f>IF('Salesforce Dump'!G18&lt;&gt;"",'Salesforce Dump'!G18,"")</f>
        <v/>
      </c>
      <c r="I21" s="49" t="str">
        <f>IF('Salesforce Dump'!H18&lt;&gt;"",'Salesforce Dump'!H18,"")</f>
        <v/>
      </c>
      <c r="J21" s="51" t="str">
        <f>IF('Salesforce Dump'!I18&lt;&gt;"",'Salesforce Dump'!I18,"")</f>
        <v/>
      </c>
      <c r="K21" s="51" t="str">
        <f>IF('Salesforce Dump'!J18&lt;&gt;"",'Salesforce Dump'!J18,"")</f>
        <v/>
      </c>
      <c r="L21" s="52" t="str">
        <f>IFERROR(INDEX('OBA Dump'!C:C,MATCH($E21*1,'OBA Dump'!$A:$A,0)),"")</f>
        <v/>
      </c>
      <c r="M21" s="52" t="str">
        <f>IFERROR(INDEX('OBA Dump'!D:D,MATCH($E21*1,'OBA Dump'!$A:$A,0)),"")</f>
        <v/>
      </c>
      <c r="N21" s="52"/>
      <c r="O21" s="52"/>
      <c r="P21" s="53"/>
      <c r="Q21" s="52"/>
      <c r="R21" s="38" t="str">
        <f>_xlfn.IFNA(VLOOKUP(E21,'Pre-Booked Holidays'!A:B,2,0),"")</f>
        <v/>
      </c>
      <c r="S21" s="38" t="str">
        <f>IF(E21="","",IF(IFERROR(VLOOKUP(E21,'Onbase Report'!D:E,2,0),"")&lt;&gt;"","Details in Onbase","No Details"))</f>
        <v/>
      </c>
      <c r="T21" s="38" t="str">
        <f>IF(LEFT('Salesforce Dump'!Q18,5)="BHX10",LEFT('Salesforce Dump'!Q18,5),LEFT('Salesforce Dump'!Q18,4))</f>
        <v/>
      </c>
    </row>
    <row r="22" spans="1:20" s="38" customFormat="1" ht="14.5" x14ac:dyDescent="0.35">
      <c r="A22" s="47" t="str">
        <f>IF('Salesforce Dump'!A19&lt;&gt;"",'Salesforce Dump'!A19,"")</f>
        <v/>
      </c>
      <c r="B22" s="48"/>
      <c r="C22" s="49" t="str">
        <f>IF('Salesforce Dump'!B19&lt;&gt;"",'Salesforce Dump'!B19,"")</f>
        <v/>
      </c>
      <c r="D22" s="48"/>
      <c r="E22" s="50" t="str">
        <f>IF('Salesforce Dump'!C19&lt;&gt;"",'Salesforce Dump'!C19,"")</f>
        <v/>
      </c>
      <c r="F22" s="49" t="str">
        <f>IF('Salesforce Dump'!D19&lt;&gt;"",'Salesforce Dump'!D19,"")</f>
        <v/>
      </c>
      <c r="G22" s="49" t="str">
        <f>IF('Salesforce Dump'!E19&lt;&gt;"",'Salesforce Dump'!E19,"")</f>
        <v/>
      </c>
      <c r="H22" s="49" t="str">
        <f>IF('Salesforce Dump'!G19&lt;&gt;"",'Salesforce Dump'!G19,"")</f>
        <v/>
      </c>
      <c r="I22" s="49" t="str">
        <f>IF('Salesforce Dump'!H19&lt;&gt;"",'Salesforce Dump'!H19,"")</f>
        <v/>
      </c>
      <c r="J22" s="51" t="str">
        <f>IF('Salesforce Dump'!I19&lt;&gt;"",'Salesforce Dump'!I19,"")</f>
        <v/>
      </c>
      <c r="K22" s="51" t="str">
        <f>IF('Salesforce Dump'!J19&lt;&gt;"",'Salesforce Dump'!J19,"")</f>
        <v/>
      </c>
      <c r="L22" s="52" t="str">
        <f>IFERROR(INDEX('OBA Dump'!C:C,MATCH($E22*1,'OBA Dump'!$A:$A,0)),"")</f>
        <v/>
      </c>
      <c r="M22" s="52" t="str">
        <f>IFERROR(INDEX('OBA Dump'!D:D,MATCH($E22*1,'OBA Dump'!$A:$A,0)),"")</f>
        <v/>
      </c>
      <c r="N22" s="52"/>
      <c r="O22" s="52"/>
      <c r="P22" s="53"/>
      <c r="Q22" s="52"/>
      <c r="R22" s="38" t="str">
        <f>_xlfn.IFNA(VLOOKUP(E22,'Pre-Booked Holidays'!A:B,2,0),"")</f>
        <v/>
      </c>
      <c r="S22" s="38" t="str">
        <f>IF(E22="","",IF(IFERROR(VLOOKUP(E22,'Onbase Report'!D:E,2,0),"")&lt;&gt;"","Details in Onbase","No Details"))</f>
        <v/>
      </c>
      <c r="T22" s="38" t="str">
        <f>IF(LEFT('Salesforce Dump'!Q19,5)="BHX10",LEFT('Salesforce Dump'!Q19,5),LEFT('Salesforce Dump'!Q19,4))</f>
        <v/>
      </c>
    </row>
    <row r="23" spans="1:20" s="38" customFormat="1" ht="14.5" x14ac:dyDescent="0.35">
      <c r="A23" s="47" t="str">
        <f>IF('Salesforce Dump'!A20&lt;&gt;"",'Salesforce Dump'!A20,"")</f>
        <v/>
      </c>
      <c r="B23" s="48"/>
      <c r="C23" s="49" t="str">
        <f>IF('Salesforce Dump'!B20&lt;&gt;"",'Salesforce Dump'!B20,"")</f>
        <v/>
      </c>
      <c r="D23" s="48"/>
      <c r="E23" s="50" t="str">
        <f>IF('Salesforce Dump'!C20&lt;&gt;"",'Salesforce Dump'!C20,"")</f>
        <v/>
      </c>
      <c r="F23" s="49" t="str">
        <f>IF('Salesforce Dump'!D20&lt;&gt;"",'Salesforce Dump'!D20,"")</f>
        <v/>
      </c>
      <c r="G23" s="49" t="str">
        <f>IF('Salesforce Dump'!E20&lt;&gt;"",'Salesforce Dump'!E20,"")</f>
        <v/>
      </c>
      <c r="H23" s="49" t="str">
        <f>IF('Salesforce Dump'!G20&lt;&gt;"",'Salesforce Dump'!G20,"")</f>
        <v/>
      </c>
      <c r="I23" s="49" t="str">
        <f>IF('Salesforce Dump'!H20&lt;&gt;"",'Salesforce Dump'!H20,"")</f>
        <v/>
      </c>
      <c r="J23" s="51" t="str">
        <f>IF('Salesforce Dump'!I20&lt;&gt;"",'Salesforce Dump'!I20,"")</f>
        <v/>
      </c>
      <c r="K23" s="51" t="str">
        <f>IF('Salesforce Dump'!J20&lt;&gt;"",'Salesforce Dump'!J20,"")</f>
        <v/>
      </c>
      <c r="L23" s="52" t="str">
        <f>IFERROR(INDEX('OBA Dump'!C:C,MATCH($E23*1,'OBA Dump'!$A:$A,0)),"")</f>
        <v/>
      </c>
      <c r="M23" s="52" t="str">
        <f>IFERROR(INDEX('OBA Dump'!D:D,MATCH($E23*1,'OBA Dump'!$A:$A,0)),"")</f>
        <v/>
      </c>
      <c r="N23" s="52"/>
      <c r="O23" s="52"/>
      <c r="P23" s="53"/>
      <c r="Q23" s="52"/>
      <c r="R23" s="38" t="str">
        <f>_xlfn.IFNA(VLOOKUP(E23,'Pre-Booked Holidays'!A:B,2,0),"")</f>
        <v/>
      </c>
      <c r="S23" s="38" t="str">
        <f>IF(E23="","",IF(IFERROR(VLOOKUP(E23,'Onbase Report'!D:E,2,0),"")&lt;&gt;"","Details in Onbase","No Details"))</f>
        <v/>
      </c>
      <c r="T23" s="38" t="str">
        <f>IF(LEFT('Salesforce Dump'!Q20,5)="BHX10",LEFT('Salesforce Dump'!Q20,5),LEFT('Salesforce Dump'!Q20,4))</f>
        <v/>
      </c>
    </row>
    <row r="24" spans="1:20" s="38" customFormat="1" ht="14.5" x14ac:dyDescent="0.35">
      <c r="A24" s="47" t="str">
        <f>IF('Salesforce Dump'!A21&lt;&gt;"",'Salesforce Dump'!A21,"")</f>
        <v/>
      </c>
      <c r="B24" s="48"/>
      <c r="C24" s="49" t="str">
        <f>IF('Salesforce Dump'!B21&lt;&gt;"",'Salesforce Dump'!B21,"")</f>
        <v/>
      </c>
      <c r="D24" s="48"/>
      <c r="E24" s="50" t="str">
        <f>IF('Salesforce Dump'!C21&lt;&gt;"",'Salesforce Dump'!C21,"")</f>
        <v/>
      </c>
      <c r="F24" s="49" t="str">
        <f>IF('Salesforce Dump'!D21&lt;&gt;"",'Salesforce Dump'!D21,"")</f>
        <v/>
      </c>
      <c r="G24" s="49" t="str">
        <f>IF('Salesforce Dump'!E21&lt;&gt;"",'Salesforce Dump'!E21,"")</f>
        <v/>
      </c>
      <c r="H24" s="49" t="str">
        <f>IF('Salesforce Dump'!G21&lt;&gt;"",'Salesforce Dump'!G21,"")</f>
        <v/>
      </c>
      <c r="I24" s="49" t="str">
        <f>IF('Salesforce Dump'!H21&lt;&gt;"",'Salesforce Dump'!H21,"")</f>
        <v/>
      </c>
      <c r="J24" s="51" t="str">
        <f>IF('Salesforce Dump'!I21&lt;&gt;"",'Salesforce Dump'!I21,"")</f>
        <v/>
      </c>
      <c r="K24" s="51" t="str">
        <f>IF('Salesforce Dump'!J21&lt;&gt;"",'Salesforce Dump'!J21,"")</f>
        <v/>
      </c>
      <c r="L24" s="52" t="str">
        <f>IFERROR(INDEX('OBA Dump'!C:C,MATCH($E24*1,'OBA Dump'!$A:$A,0)),"")</f>
        <v/>
      </c>
      <c r="M24" s="52" t="str">
        <f>IFERROR(INDEX('OBA Dump'!D:D,MATCH($E24*1,'OBA Dump'!$A:$A,0)),"")</f>
        <v/>
      </c>
      <c r="N24" s="52"/>
      <c r="O24" s="52"/>
      <c r="P24" s="53"/>
      <c r="Q24" s="52"/>
      <c r="R24" s="38" t="str">
        <f>_xlfn.IFNA(VLOOKUP(E24,'Pre-Booked Holidays'!A:B,2,0),"")</f>
        <v/>
      </c>
      <c r="S24" s="38" t="str">
        <f>IF(E24="","",IF(IFERROR(VLOOKUP(E24,'Onbase Report'!D:E,2,0),"")&lt;&gt;"","Details in Onbase","No Details"))</f>
        <v/>
      </c>
      <c r="T24" s="38" t="str">
        <f>IF(LEFT('Salesforce Dump'!Q21,5)="BHX10",LEFT('Salesforce Dump'!Q21,5),LEFT('Salesforce Dump'!Q21,4))</f>
        <v/>
      </c>
    </row>
    <row r="25" spans="1:20" s="38" customFormat="1" ht="14.5" x14ac:dyDescent="0.35">
      <c r="A25" s="47" t="str">
        <f>IF('Salesforce Dump'!A22&lt;&gt;"",'Salesforce Dump'!A22,"")</f>
        <v/>
      </c>
      <c r="B25" s="48"/>
      <c r="C25" s="49" t="str">
        <f>IF('Salesforce Dump'!B22&lt;&gt;"",'Salesforce Dump'!B22,"")</f>
        <v/>
      </c>
      <c r="D25" s="48"/>
      <c r="E25" s="50" t="str">
        <f>IF('Salesforce Dump'!C22&lt;&gt;"",'Salesforce Dump'!C22,"")</f>
        <v/>
      </c>
      <c r="F25" s="49" t="str">
        <f>IF('Salesforce Dump'!D22&lt;&gt;"",'Salesforce Dump'!D22,"")</f>
        <v/>
      </c>
      <c r="G25" s="49" t="str">
        <f>IF('Salesforce Dump'!E22&lt;&gt;"",'Salesforce Dump'!E22,"")</f>
        <v/>
      </c>
      <c r="H25" s="49" t="str">
        <f>IF('Salesforce Dump'!G22&lt;&gt;"",'Salesforce Dump'!G22,"")</f>
        <v/>
      </c>
      <c r="I25" s="49" t="str">
        <f>IF('Salesforce Dump'!H22&lt;&gt;"",'Salesforce Dump'!H22,"")</f>
        <v/>
      </c>
      <c r="J25" s="51" t="str">
        <f>IF('Salesforce Dump'!I22&lt;&gt;"",'Salesforce Dump'!I22,"")</f>
        <v/>
      </c>
      <c r="K25" s="51" t="str">
        <f>IF('Salesforce Dump'!J22&lt;&gt;"",'Salesforce Dump'!J22,"")</f>
        <v/>
      </c>
      <c r="L25" s="52" t="str">
        <f>IFERROR(INDEX('OBA Dump'!C:C,MATCH($E25*1,'OBA Dump'!$A:$A,0)),"")</f>
        <v/>
      </c>
      <c r="M25" s="52" t="str">
        <f>IFERROR(INDEX('OBA Dump'!D:D,MATCH($E25*1,'OBA Dump'!$A:$A,0)),"")</f>
        <v/>
      </c>
      <c r="N25" s="52"/>
      <c r="O25" s="52"/>
      <c r="P25" s="53"/>
      <c r="Q25" s="52"/>
      <c r="R25" s="38" t="str">
        <f>_xlfn.IFNA(VLOOKUP(E25,'Pre-Booked Holidays'!A:B,2,0),"")</f>
        <v/>
      </c>
      <c r="S25" s="38" t="str">
        <f>IF(E25="","",IF(IFERROR(VLOOKUP(E25,'Onbase Report'!D:E,2,0),"")&lt;&gt;"","Details in Onbase","No Details"))</f>
        <v/>
      </c>
      <c r="T25" s="38" t="str">
        <f>IF(LEFT('Salesforce Dump'!Q22,5)="BHX10",LEFT('Salesforce Dump'!Q22,5),LEFT('Salesforce Dump'!Q22,4))</f>
        <v/>
      </c>
    </row>
    <row r="26" spans="1:20" s="38" customFormat="1" ht="14.5" x14ac:dyDescent="0.35">
      <c r="A26" s="47" t="str">
        <f>IF('Salesforce Dump'!A23&lt;&gt;"",'Salesforce Dump'!A23,"")</f>
        <v/>
      </c>
      <c r="B26" s="48"/>
      <c r="C26" s="49" t="str">
        <f>IF('Salesforce Dump'!B23&lt;&gt;"",'Salesforce Dump'!B23,"")</f>
        <v/>
      </c>
      <c r="D26" s="48"/>
      <c r="E26" s="50" t="str">
        <f>IF('Salesforce Dump'!C23&lt;&gt;"",'Salesforce Dump'!C23,"")</f>
        <v/>
      </c>
      <c r="F26" s="49" t="str">
        <f>IF('Salesforce Dump'!D23&lt;&gt;"",'Salesforce Dump'!D23,"")</f>
        <v/>
      </c>
      <c r="G26" s="49" t="str">
        <f>IF('Salesforce Dump'!E23&lt;&gt;"",'Salesforce Dump'!E23,"")</f>
        <v/>
      </c>
      <c r="H26" s="49" t="str">
        <f>IF('Salesforce Dump'!G23&lt;&gt;"",'Salesforce Dump'!G23,"")</f>
        <v/>
      </c>
      <c r="I26" s="49" t="str">
        <f>IF('Salesforce Dump'!H23&lt;&gt;"",'Salesforce Dump'!H23,"")</f>
        <v/>
      </c>
      <c r="J26" s="51" t="str">
        <f>IF('Salesforce Dump'!I23&lt;&gt;"",'Salesforce Dump'!I23,"")</f>
        <v/>
      </c>
      <c r="K26" s="51" t="str">
        <f>IF('Salesforce Dump'!J23&lt;&gt;"",'Salesforce Dump'!J23,"")</f>
        <v/>
      </c>
      <c r="L26" s="52" t="str">
        <f>IFERROR(INDEX('OBA Dump'!C:C,MATCH($E26*1,'OBA Dump'!$A:$A,0)),"")</f>
        <v/>
      </c>
      <c r="M26" s="52" t="str">
        <f>IFERROR(INDEX('OBA Dump'!D:D,MATCH($E26*1,'OBA Dump'!$A:$A,0)),"")</f>
        <v/>
      </c>
      <c r="N26" s="52"/>
      <c r="O26" s="52"/>
      <c r="P26" s="53"/>
      <c r="Q26" s="52"/>
      <c r="R26" s="38" t="str">
        <f>_xlfn.IFNA(VLOOKUP(E26,'Pre-Booked Holidays'!A:B,2,0),"")</f>
        <v/>
      </c>
      <c r="S26" s="38" t="str">
        <f>IF(E26="","",IF(IFERROR(VLOOKUP(E26,'Onbase Report'!D:E,2,0),"")&lt;&gt;"","Details in Onbase","No Details"))</f>
        <v/>
      </c>
      <c r="T26" s="38" t="str">
        <f>IF(LEFT('Salesforce Dump'!Q23,5)="BHX10",LEFT('Salesforce Dump'!Q23,5),LEFT('Salesforce Dump'!Q23,4))</f>
        <v/>
      </c>
    </row>
    <row r="27" spans="1:20" s="38" customFormat="1" ht="14.5" x14ac:dyDescent="0.35">
      <c r="A27" s="47" t="str">
        <f>IF('Salesforce Dump'!A24&lt;&gt;"",'Salesforce Dump'!A24,"")</f>
        <v/>
      </c>
      <c r="B27" s="48"/>
      <c r="C27" s="49" t="str">
        <f>IF('Salesforce Dump'!B24&lt;&gt;"",'Salesforce Dump'!B24,"")</f>
        <v/>
      </c>
      <c r="D27" s="48"/>
      <c r="E27" s="50" t="str">
        <f>IF('Salesforce Dump'!C24&lt;&gt;"",'Salesforce Dump'!C24,"")</f>
        <v/>
      </c>
      <c r="F27" s="49" t="str">
        <f>IF('Salesforce Dump'!D24&lt;&gt;"",'Salesforce Dump'!D24,"")</f>
        <v/>
      </c>
      <c r="G27" s="49" t="str">
        <f>IF('Salesforce Dump'!E24&lt;&gt;"",'Salesforce Dump'!E24,"")</f>
        <v/>
      </c>
      <c r="H27" s="49" t="str">
        <f>IF('Salesforce Dump'!G24&lt;&gt;"",'Salesforce Dump'!G24,"")</f>
        <v/>
      </c>
      <c r="I27" s="49" t="str">
        <f>IF('Salesforce Dump'!H24&lt;&gt;"",'Salesforce Dump'!H24,"")</f>
        <v/>
      </c>
      <c r="J27" s="51" t="str">
        <f>IF('Salesforce Dump'!I24&lt;&gt;"",'Salesforce Dump'!I24,"")</f>
        <v/>
      </c>
      <c r="K27" s="51" t="str">
        <f>IF('Salesforce Dump'!J24&lt;&gt;"",'Salesforce Dump'!J24,"")</f>
        <v/>
      </c>
      <c r="L27" s="52" t="str">
        <f>IFERROR(INDEX('OBA Dump'!C:C,MATCH($E27*1,'OBA Dump'!$A:$A,0)),"")</f>
        <v/>
      </c>
      <c r="M27" s="52" t="str">
        <f>IFERROR(INDEX('OBA Dump'!D:D,MATCH($E27*1,'OBA Dump'!$A:$A,0)),"")</f>
        <v/>
      </c>
      <c r="N27" s="52"/>
      <c r="O27" s="52"/>
      <c r="P27" s="53"/>
      <c r="Q27" s="52"/>
      <c r="R27" s="38" t="str">
        <f>_xlfn.IFNA(VLOOKUP(E27,'Pre-Booked Holidays'!A:B,2,0),"")</f>
        <v/>
      </c>
      <c r="S27" s="38" t="str">
        <f>IF(E27="","",IF(IFERROR(VLOOKUP(E27,'Onbase Report'!D:E,2,0),"")&lt;&gt;"","Details in Onbase","No Details"))</f>
        <v/>
      </c>
      <c r="T27" s="38" t="str">
        <f>IF(LEFT('Salesforce Dump'!Q24,5)="BHX10",LEFT('Salesforce Dump'!Q24,5),LEFT('Salesforce Dump'!Q24,4))</f>
        <v/>
      </c>
    </row>
    <row r="28" spans="1:20" s="38" customFormat="1" ht="14.5" x14ac:dyDescent="0.35">
      <c r="A28" s="47" t="str">
        <f>IF('Salesforce Dump'!A25&lt;&gt;"",'Salesforce Dump'!A25,"")</f>
        <v/>
      </c>
      <c r="B28" s="48"/>
      <c r="C28" s="49" t="str">
        <f>IF('Salesforce Dump'!B25&lt;&gt;"",'Salesforce Dump'!B25,"")</f>
        <v/>
      </c>
      <c r="D28" s="48"/>
      <c r="E28" s="50" t="str">
        <f>IF('Salesforce Dump'!C25&lt;&gt;"",'Salesforce Dump'!C25,"")</f>
        <v/>
      </c>
      <c r="F28" s="49" t="str">
        <f>IF('Salesforce Dump'!D25&lt;&gt;"",'Salesforce Dump'!D25,"")</f>
        <v/>
      </c>
      <c r="G28" s="49" t="str">
        <f>IF('Salesforce Dump'!E25&lt;&gt;"",'Salesforce Dump'!E25,"")</f>
        <v/>
      </c>
      <c r="H28" s="49" t="str">
        <f>IF('Salesforce Dump'!G25&lt;&gt;"",'Salesforce Dump'!G25,"")</f>
        <v/>
      </c>
      <c r="I28" s="49" t="str">
        <f>IF('Salesforce Dump'!H25&lt;&gt;"",'Salesforce Dump'!H25,"")</f>
        <v/>
      </c>
      <c r="J28" s="51" t="str">
        <f>IF('Salesforce Dump'!I25&lt;&gt;"",'Salesforce Dump'!I25,"")</f>
        <v/>
      </c>
      <c r="K28" s="51" t="str">
        <f>IF('Salesforce Dump'!J25&lt;&gt;"",'Salesforce Dump'!J25,"")</f>
        <v/>
      </c>
      <c r="L28" s="52" t="str">
        <f>IFERROR(INDEX('OBA Dump'!C:C,MATCH($E28*1,'OBA Dump'!$A:$A,0)),"")</f>
        <v/>
      </c>
      <c r="M28" s="52" t="str">
        <f>IFERROR(INDEX('OBA Dump'!D:D,MATCH($E28*1,'OBA Dump'!$A:$A,0)),"")</f>
        <v/>
      </c>
      <c r="N28" s="52"/>
      <c r="O28" s="52"/>
      <c r="P28" s="53"/>
      <c r="Q28" s="52"/>
      <c r="R28" s="38" t="str">
        <f>_xlfn.IFNA(VLOOKUP(E28,'Pre-Booked Holidays'!A:B,2,0),"")</f>
        <v/>
      </c>
      <c r="S28" s="38" t="str">
        <f>IF(E28="","",IF(IFERROR(VLOOKUP(E28,'Onbase Report'!D:E,2,0),"")&lt;&gt;"","Details in Onbase","No Details"))</f>
        <v/>
      </c>
      <c r="T28" s="38" t="str">
        <f>IF(LEFT('Salesforce Dump'!Q25,5)="BHX10",LEFT('Salesforce Dump'!Q25,5),LEFT('Salesforce Dump'!Q25,4))</f>
        <v/>
      </c>
    </row>
    <row r="29" spans="1:20" s="38" customFormat="1" ht="14.5" x14ac:dyDescent="0.35">
      <c r="A29" s="47" t="str">
        <f>IF('Salesforce Dump'!A26&lt;&gt;"",'Salesforce Dump'!A26,"")</f>
        <v/>
      </c>
      <c r="B29" s="48"/>
      <c r="C29" s="49" t="str">
        <f>IF('Salesforce Dump'!B26&lt;&gt;"",'Salesforce Dump'!B26,"")</f>
        <v/>
      </c>
      <c r="D29" s="48"/>
      <c r="E29" s="50" t="str">
        <f>IF('Salesforce Dump'!C26&lt;&gt;"",'Salesforce Dump'!C26,"")</f>
        <v/>
      </c>
      <c r="F29" s="49" t="str">
        <f>IF('Salesforce Dump'!D26&lt;&gt;"",'Salesforce Dump'!D26,"")</f>
        <v/>
      </c>
      <c r="G29" s="49" t="str">
        <f>IF('Salesforce Dump'!E26&lt;&gt;"",'Salesforce Dump'!E26,"")</f>
        <v/>
      </c>
      <c r="H29" s="49" t="str">
        <f>IF('Salesforce Dump'!G26&lt;&gt;"",'Salesforce Dump'!G26,"")</f>
        <v/>
      </c>
      <c r="I29" s="49" t="str">
        <f>IF('Salesforce Dump'!H26&lt;&gt;"",'Salesforce Dump'!H26,"")</f>
        <v/>
      </c>
      <c r="J29" s="51" t="str">
        <f>IF('Salesforce Dump'!I26&lt;&gt;"",'Salesforce Dump'!I26,"")</f>
        <v/>
      </c>
      <c r="K29" s="51" t="str">
        <f>IF('Salesforce Dump'!J26&lt;&gt;"",'Salesforce Dump'!J26,"")</f>
        <v/>
      </c>
      <c r="L29" s="52" t="str">
        <f>IFERROR(INDEX('OBA Dump'!C:C,MATCH($E29*1,'OBA Dump'!$A:$A,0)),"")</f>
        <v/>
      </c>
      <c r="M29" s="52" t="str">
        <f>IFERROR(INDEX('OBA Dump'!D:D,MATCH($E29*1,'OBA Dump'!$A:$A,0)),"")</f>
        <v/>
      </c>
      <c r="N29" s="52"/>
      <c r="O29" s="52"/>
      <c r="P29" s="53"/>
      <c r="Q29" s="52"/>
      <c r="R29" s="38" t="str">
        <f>_xlfn.IFNA(VLOOKUP(E29,'Pre-Booked Holidays'!A:B,2,0),"")</f>
        <v/>
      </c>
      <c r="S29" s="38" t="str">
        <f>IF(E29="","",IF(IFERROR(VLOOKUP(E29,'Onbase Report'!D:E,2,0),"")&lt;&gt;"","Details in Onbase","No Details"))</f>
        <v/>
      </c>
      <c r="T29" s="38" t="str">
        <f>IF(LEFT('Salesforce Dump'!Q26,5)="BHX10",LEFT('Salesforce Dump'!Q26,5),LEFT('Salesforce Dump'!Q26,4))</f>
        <v/>
      </c>
    </row>
    <row r="30" spans="1:20" s="38" customFormat="1" ht="14.5" x14ac:dyDescent="0.35">
      <c r="A30" s="47" t="str">
        <f>IF('Salesforce Dump'!A27&lt;&gt;"",'Salesforce Dump'!A27,"")</f>
        <v/>
      </c>
      <c r="B30" s="48"/>
      <c r="C30" s="49" t="str">
        <f>IF('Salesforce Dump'!B27&lt;&gt;"",'Salesforce Dump'!B27,"")</f>
        <v/>
      </c>
      <c r="D30" s="48"/>
      <c r="E30" s="50" t="str">
        <f>IF('Salesforce Dump'!C27&lt;&gt;"",'Salesforce Dump'!C27,"")</f>
        <v/>
      </c>
      <c r="F30" s="49" t="str">
        <f>IF('Salesforce Dump'!D27&lt;&gt;"",'Salesforce Dump'!D27,"")</f>
        <v/>
      </c>
      <c r="G30" s="49" t="str">
        <f>IF('Salesforce Dump'!E27&lt;&gt;"",'Salesforce Dump'!E27,"")</f>
        <v/>
      </c>
      <c r="H30" s="49" t="str">
        <f>IF('Salesforce Dump'!G27&lt;&gt;"",'Salesforce Dump'!G27,"")</f>
        <v/>
      </c>
      <c r="I30" s="49" t="str">
        <f>IF('Salesforce Dump'!H27&lt;&gt;"",'Salesforce Dump'!H27,"")</f>
        <v/>
      </c>
      <c r="J30" s="51" t="str">
        <f>IF('Salesforce Dump'!I27&lt;&gt;"",'Salesforce Dump'!I27,"")</f>
        <v/>
      </c>
      <c r="K30" s="51" t="str">
        <f>IF('Salesforce Dump'!J27&lt;&gt;"",'Salesforce Dump'!J27,"")</f>
        <v/>
      </c>
      <c r="L30" s="52" t="str">
        <f>IFERROR(INDEX('OBA Dump'!C:C,MATCH($E30*1,'OBA Dump'!$A:$A,0)),"")</f>
        <v/>
      </c>
      <c r="M30" s="52" t="str">
        <f>IFERROR(INDEX('OBA Dump'!D:D,MATCH($E30*1,'OBA Dump'!$A:$A,0)),"")</f>
        <v/>
      </c>
      <c r="N30" s="52"/>
      <c r="O30" s="52"/>
      <c r="P30" s="53"/>
      <c r="Q30" s="52"/>
      <c r="R30" s="38" t="str">
        <f>_xlfn.IFNA(VLOOKUP(E30,'Pre-Booked Holidays'!A:B,2,0),"")</f>
        <v/>
      </c>
      <c r="S30" s="38" t="str">
        <f>IF(E30="","",IF(IFERROR(VLOOKUP(E30,'Onbase Report'!D:E,2,0),"")&lt;&gt;"","Details in Onbase","No Details"))</f>
        <v/>
      </c>
      <c r="T30" s="38" t="str">
        <f>IF(LEFT('Salesforce Dump'!Q27,5)="BHX10",LEFT('Salesforce Dump'!Q27,5),LEFT('Salesforce Dump'!Q27,4))</f>
        <v/>
      </c>
    </row>
    <row r="31" spans="1:20" s="38" customFormat="1" ht="14.5" x14ac:dyDescent="0.35">
      <c r="A31" s="47" t="str">
        <f>IF('Salesforce Dump'!A28&lt;&gt;"",'Salesforce Dump'!A28,"")</f>
        <v/>
      </c>
      <c r="B31" s="48"/>
      <c r="C31" s="49" t="str">
        <f>IF('Salesforce Dump'!B28&lt;&gt;"",'Salesforce Dump'!B28,"")</f>
        <v/>
      </c>
      <c r="D31" s="48"/>
      <c r="E31" s="50" t="str">
        <f>IF('Salesforce Dump'!C28&lt;&gt;"",'Salesforce Dump'!C28,"")</f>
        <v/>
      </c>
      <c r="F31" s="49" t="str">
        <f>IF('Salesforce Dump'!D28&lt;&gt;"",'Salesforce Dump'!D28,"")</f>
        <v/>
      </c>
      <c r="G31" s="49" t="str">
        <f>IF('Salesforce Dump'!E28&lt;&gt;"",'Salesforce Dump'!E28,"")</f>
        <v/>
      </c>
      <c r="H31" s="49" t="str">
        <f>IF('Salesforce Dump'!G28&lt;&gt;"",'Salesforce Dump'!G28,"")</f>
        <v/>
      </c>
      <c r="I31" s="49" t="str">
        <f>IF('Salesforce Dump'!H28&lt;&gt;"",'Salesforce Dump'!H28,"")</f>
        <v/>
      </c>
      <c r="J31" s="51" t="str">
        <f>IF('Salesforce Dump'!I28&lt;&gt;"",'Salesforce Dump'!I28,"")</f>
        <v/>
      </c>
      <c r="K31" s="51" t="str">
        <f>IF('Salesforce Dump'!J28&lt;&gt;"",'Salesforce Dump'!J28,"")</f>
        <v/>
      </c>
      <c r="L31" s="52" t="str">
        <f>IFERROR(INDEX('OBA Dump'!C:C,MATCH($E31*1,'OBA Dump'!$A:$A,0)),"")</f>
        <v/>
      </c>
      <c r="M31" s="52" t="str">
        <f>IFERROR(INDEX('OBA Dump'!D:D,MATCH($E31*1,'OBA Dump'!$A:$A,0)),"")</f>
        <v/>
      </c>
      <c r="N31" s="52"/>
      <c r="O31" s="52"/>
      <c r="P31" s="53"/>
      <c r="Q31" s="52"/>
      <c r="R31" s="38" t="str">
        <f>_xlfn.IFNA(VLOOKUP(E31,'Pre-Booked Holidays'!A:B,2,0),"")</f>
        <v/>
      </c>
      <c r="S31" s="38" t="str">
        <f>IF(E31="","",IF(IFERROR(VLOOKUP(E31,'Onbase Report'!D:E,2,0),"")&lt;&gt;"","Details in Onbase","No Details"))</f>
        <v/>
      </c>
      <c r="T31" s="38" t="str">
        <f>IF(LEFT('Salesforce Dump'!Q28,5)="BHX10",LEFT('Salesforce Dump'!Q28,5),LEFT('Salesforce Dump'!Q28,4))</f>
        <v/>
      </c>
    </row>
    <row r="32" spans="1:20" s="38" customFormat="1" ht="14.5" x14ac:dyDescent="0.35">
      <c r="A32" s="47" t="str">
        <f>IF('Salesforce Dump'!A29&lt;&gt;"",'Salesforce Dump'!A29,"")</f>
        <v/>
      </c>
      <c r="B32" s="48"/>
      <c r="C32" s="49" t="str">
        <f>IF('Salesforce Dump'!B29&lt;&gt;"",'Salesforce Dump'!B29,"")</f>
        <v/>
      </c>
      <c r="D32" s="48"/>
      <c r="E32" s="50" t="str">
        <f>IF('Salesforce Dump'!C29&lt;&gt;"",'Salesforce Dump'!C29,"")</f>
        <v/>
      </c>
      <c r="F32" s="49" t="str">
        <f>IF('Salesforce Dump'!D29&lt;&gt;"",'Salesforce Dump'!D29,"")</f>
        <v/>
      </c>
      <c r="G32" s="49" t="str">
        <f>IF('Salesforce Dump'!E29&lt;&gt;"",'Salesforce Dump'!E29,"")</f>
        <v/>
      </c>
      <c r="H32" s="49" t="str">
        <f>IF('Salesforce Dump'!G29&lt;&gt;"",'Salesforce Dump'!G29,"")</f>
        <v/>
      </c>
      <c r="I32" s="49" t="str">
        <f>IF('Salesforce Dump'!H29&lt;&gt;"",'Salesforce Dump'!H29,"")</f>
        <v/>
      </c>
      <c r="J32" s="51" t="str">
        <f>IF('Salesforce Dump'!I29&lt;&gt;"",'Salesforce Dump'!I29,"")</f>
        <v/>
      </c>
      <c r="K32" s="51" t="str">
        <f>IF('Salesforce Dump'!J29&lt;&gt;"",'Salesforce Dump'!J29,"")</f>
        <v/>
      </c>
      <c r="L32" s="52" t="str">
        <f>IFERROR(INDEX('OBA Dump'!C:C,MATCH($E32*1,'OBA Dump'!$A:$A,0)),"")</f>
        <v/>
      </c>
      <c r="M32" s="52" t="str">
        <f>IFERROR(INDEX('OBA Dump'!D:D,MATCH($E32*1,'OBA Dump'!$A:$A,0)),"")</f>
        <v/>
      </c>
      <c r="N32" s="52"/>
      <c r="O32" s="52"/>
      <c r="P32" s="53"/>
      <c r="Q32" s="52"/>
      <c r="R32" s="38" t="str">
        <f>_xlfn.IFNA(VLOOKUP(E32,'Pre-Booked Holidays'!A:B,2,0),"")</f>
        <v/>
      </c>
      <c r="S32" s="38" t="str">
        <f>IF(E32="","",IF(IFERROR(VLOOKUP(E32,'Onbase Report'!D:E,2,0),"")&lt;&gt;"","Details in Onbase","No Details"))</f>
        <v/>
      </c>
      <c r="T32" s="38" t="str">
        <f>IF(LEFT('Salesforce Dump'!Q29,5)="BHX10",LEFT('Salesforce Dump'!Q29,5),LEFT('Salesforce Dump'!Q29,4))</f>
        <v/>
      </c>
    </row>
    <row r="33" spans="1:20" s="38" customFormat="1" ht="14.5" x14ac:dyDescent="0.35">
      <c r="A33" s="47" t="str">
        <f>IF('Salesforce Dump'!A30&lt;&gt;"",'Salesforce Dump'!A30,"")</f>
        <v/>
      </c>
      <c r="B33" s="48"/>
      <c r="C33" s="49" t="str">
        <f>IF('Salesforce Dump'!B30&lt;&gt;"",'Salesforce Dump'!B30,"")</f>
        <v/>
      </c>
      <c r="D33" s="48"/>
      <c r="E33" s="50" t="str">
        <f>IF('Salesforce Dump'!C30&lt;&gt;"",'Salesforce Dump'!C30,"")</f>
        <v/>
      </c>
      <c r="F33" s="49" t="str">
        <f>IF('Salesforce Dump'!D30&lt;&gt;"",'Salesforce Dump'!D30,"")</f>
        <v/>
      </c>
      <c r="G33" s="49" t="str">
        <f>IF('Salesforce Dump'!E30&lt;&gt;"",'Salesforce Dump'!E30,"")</f>
        <v/>
      </c>
      <c r="H33" s="49" t="str">
        <f>IF('Salesforce Dump'!G30&lt;&gt;"",'Salesforce Dump'!G30,"")</f>
        <v/>
      </c>
      <c r="I33" s="49" t="str">
        <f>IF('Salesforce Dump'!H30&lt;&gt;"",'Salesforce Dump'!H30,"")</f>
        <v/>
      </c>
      <c r="J33" s="51" t="str">
        <f>IF('Salesforce Dump'!I30&lt;&gt;"",'Salesforce Dump'!I30,"")</f>
        <v/>
      </c>
      <c r="K33" s="51" t="str">
        <f>IF('Salesforce Dump'!J30&lt;&gt;"",'Salesforce Dump'!J30,"")</f>
        <v/>
      </c>
      <c r="L33" s="52" t="str">
        <f>IFERROR(INDEX('OBA Dump'!C:C,MATCH($E33*1,'OBA Dump'!$A:$A,0)),"")</f>
        <v/>
      </c>
      <c r="M33" s="52" t="str">
        <f>IFERROR(INDEX('OBA Dump'!D:D,MATCH($E33*1,'OBA Dump'!$A:$A,0)),"")</f>
        <v/>
      </c>
      <c r="N33" s="52"/>
      <c r="O33" s="52"/>
      <c r="P33" s="53"/>
      <c r="Q33" s="52"/>
      <c r="R33" s="38" t="str">
        <f>_xlfn.IFNA(VLOOKUP(E33,'Pre-Booked Holidays'!A:B,2,0),"")</f>
        <v/>
      </c>
      <c r="S33" s="38" t="str">
        <f>IF(E33="","",IF(IFERROR(VLOOKUP(E33,'Onbase Report'!D:E,2,0),"")&lt;&gt;"","Details in Onbase","No Details"))</f>
        <v/>
      </c>
      <c r="T33" s="38" t="str">
        <f>IF(LEFT('Salesforce Dump'!Q30,5)="BHX10",LEFT('Salesforce Dump'!Q30,5),LEFT('Salesforce Dump'!Q30,4))</f>
        <v/>
      </c>
    </row>
    <row r="34" spans="1:20" s="38" customFormat="1" ht="14.5" x14ac:dyDescent="0.35">
      <c r="A34" s="47" t="str">
        <f>IF('Salesforce Dump'!A31&lt;&gt;"",'Salesforce Dump'!A31,"")</f>
        <v/>
      </c>
      <c r="B34" s="48"/>
      <c r="C34" s="49" t="str">
        <f>IF('Salesforce Dump'!B31&lt;&gt;"",'Salesforce Dump'!B31,"")</f>
        <v/>
      </c>
      <c r="D34" s="48"/>
      <c r="E34" s="50" t="str">
        <f>IF('Salesforce Dump'!C31&lt;&gt;"",'Salesforce Dump'!C31,"")</f>
        <v/>
      </c>
      <c r="F34" s="49" t="str">
        <f>IF('Salesforce Dump'!D31&lt;&gt;"",'Salesforce Dump'!D31,"")</f>
        <v/>
      </c>
      <c r="G34" s="49" t="str">
        <f>IF('Salesforce Dump'!E31&lt;&gt;"",'Salesforce Dump'!E31,"")</f>
        <v/>
      </c>
      <c r="H34" s="49" t="str">
        <f>IF('Salesforce Dump'!G31&lt;&gt;"",'Salesforce Dump'!G31,"")</f>
        <v/>
      </c>
      <c r="I34" s="49" t="str">
        <f>IF('Salesforce Dump'!H31&lt;&gt;"",'Salesforce Dump'!H31,"")</f>
        <v/>
      </c>
      <c r="J34" s="51" t="str">
        <f>IF('Salesforce Dump'!I31&lt;&gt;"",'Salesforce Dump'!I31,"")</f>
        <v/>
      </c>
      <c r="K34" s="51" t="str">
        <f>IF('Salesforce Dump'!J31&lt;&gt;"",'Salesforce Dump'!J31,"")</f>
        <v/>
      </c>
      <c r="L34" s="52" t="str">
        <f>IFERROR(INDEX('OBA Dump'!C:C,MATCH($E34*1,'OBA Dump'!$A:$A,0)),"")</f>
        <v/>
      </c>
      <c r="M34" s="52" t="str">
        <f>IFERROR(INDEX('OBA Dump'!D:D,MATCH($E34*1,'OBA Dump'!$A:$A,0)),"")</f>
        <v/>
      </c>
      <c r="N34" s="52"/>
      <c r="O34" s="52"/>
      <c r="P34" s="53"/>
      <c r="Q34" s="52"/>
      <c r="R34" s="38" t="str">
        <f>_xlfn.IFNA(VLOOKUP(E34,'Pre-Booked Holidays'!A:B,2,0),"")</f>
        <v/>
      </c>
      <c r="S34" s="38" t="str">
        <f>IF(E34="","",IF(IFERROR(VLOOKUP(E34,'Onbase Report'!D:E,2,0),"")&lt;&gt;"","Details in Onbase","No Details"))</f>
        <v/>
      </c>
      <c r="T34" s="38" t="str">
        <f>IF(LEFT('Salesforce Dump'!Q31,5)="BHX10",LEFT('Salesforce Dump'!Q31,5),LEFT('Salesforce Dump'!Q31,4))</f>
        <v/>
      </c>
    </row>
    <row r="35" spans="1:20" s="38" customFormat="1" ht="14.5" x14ac:dyDescent="0.35">
      <c r="A35" s="47" t="str">
        <f>IF('Salesforce Dump'!A32&lt;&gt;"",'Salesforce Dump'!A32,"")</f>
        <v/>
      </c>
      <c r="B35" s="48"/>
      <c r="C35" s="49" t="str">
        <f>IF('Salesforce Dump'!B32&lt;&gt;"",'Salesforce Dump'!B32,"")</f>
        <v/>
      </c>
      <c r="D35" s="48"/>
      <c r="E35" s="50" t="str">
        <f>IF('Salesforce Dump'!C32&lt;&gt;"",'Salesforce Dump'!C32,"")</f>
        <v/>
      </c>
      <c r="F35" s="49" t="str">
        <f>IF('Salesforce Dump'!D32&lt;&gt;"",'Salesforce Dump'!D32,"")</f>
        <v/>
      </c>
      <c r="G35" s="49" t="str">
        <f>IF('Salesforce Dump'!E32&lt;&gt;"",'Salesforce Dump'!E32,"")</f>
        <v/>
      </c>
      <c r="H35" s="49" t="str">
        <f>IF('Salesforce Dump'!G32&lt;&gt;"",'Salesforce Dump'!G32,"")</f>
        <v/>
      </c>
      <c r="I35" s="49" t="str">
        <f>IF('Salesforce Dump'!H32&lt;&gt;"",'Salesforce Dump'!H32,"")</f>
        <v/>
      </c>
      <c r="J35" s="51" t="str">
        <f>IF('Salesforce Dump'!I32&lt;&gt;"",'Salesforce Dump'!I32,"")</f>
        <v/>
      </c>
      <c r="K35" s="51" t="str">
        <f>IF('Salesforce Dump'!J32&lt;&gt;"",'Salesforce Dump'!J32,"")</f>
        <v/>
      </c>
      <c r="L35" s="52" t="str">
        <f>IFERROR(INDEX('OBA Dump'!C:C,MATCH($E35*1,'OBA Dump'!$A:$A,0)),"")</f>
        <v/>
      </c>
      <c r="M35" s="52" t="str">
        <f>IFERROR(INDEX('OBA Dump'!D:D,MATCH($E35*1,'OBA Dump'!$A:$A,0)),"")</f>
        <v/>
      </c>
      <c r="N35" s="52"/>
      <c r="O35" s="52"/>
      <c r="P35" s="53"/>
      <c r="Q35" s="52"/>
      <c r="R35" s="38" t="str">
        <f>_xlfn.IFNA(VLOOKUP(E35,'Pre-Booked Holidays'!A:B,2,0),"")</f>
        <v/>
      </c>
      <c r="S35" s="38" t="str">
        <f>IF(E35="","",IF(IFERROR(VLOOKUP(E35,'Onbase Report'!D:E,2,0),"")&lt;&gt;"","Details in Onbase","No Details"))</f>
        <v/>
      </c>
      <c r="T35" s="38" t="str">
        <f>IF(LEFT('Salesforce Dump'!Q32,5)="BHX10",LEFT('Salesforce Dump'!Q32,5),LEFT('Salesforce Dump'!Q32,4))</f>
        <v/>
      </c>
    </row>
    <row r="36" spans="1:20" s="38" customFormat="1" ht="14.5" x14ac:dyDescent="0.35">
      <c r="A36" s="47" t="str">
        <f>IF('Salesforce Dump'!A33&lt;&gt;"",'Salesforce Dump'!A33,"")</f>
        <v/>
      </c>
      <c r="B36" s="48"/>
      <c r="C36" s="49" t="str">
        <f>IF('Salesforce Dump'!B33&lt;&gt;"",'Salesforce Dump'!B33,"")</f>
        <v/>
      </c>
      <c r="D36" s="48"/>
      <c r="E36" s="50" t="str">
        <f>IF('Salesforce Dump'!C33&lt;&gt;"",'Salesforce Dump'!C33,"")</f>
        <v/>
      </c>
      <c r="F36" s="49" t="str">
        <f>IF('Salesforce Dump'!D33&lt;&gt;"",'Salesforce Dump'!D33,"")</f>
        <v/>
      </c>
      <c r="G36" s="49" t="str">
        <f>IF('Salesforce Dump'!E33&lt;&gt;"",'Salesforce Dump'!E33,"")</f>
        <v/>
      </c>
      <c r="H36" s="49" t="str">
        <f>IF('Salesforce Dump'!G33&lt;&gt;"",'Salesforce Dump'!G33,"")</f>
        <v/>
      </c>
      <c r="I36" s="49" t="str">
        <f>IF('Salesforce Dump'!H33&lt;&gt;"",'Salesforce Dump'!H33,"")</f>
        <v/>
      </c>
      <c r="J36" s="51" t="str">
        <f>IF('Salesforce Dump'!I33&lt;&gt;"",'Salesforce Dump'!I33,"")</f>
        <v/>
      </c>
      <c r="K36" s="51" t="str">
        <f>IF('Salesforce Dump'!J33&lt;&gt;"",'Salesforce Dump'!J33,"")</f>
        <v/>
      </c>
      <c r="L36" s="52" t="str">
        <f>IFERROR(INDEX('OBA Dump'!C:C,MATCH($E36*1,'OBA Dump'!$A:$A,0)),"")</f>
        <v/>
      </c>
      <c r="M36" s="52" t="str">
        <f>IFERROR(INDEX('OBA Dump'!D:D,MATCH($E36*1,'OBA Dump'!$A:$A,0)),"")</f>
        <v/>
      </c>
      <c r="N36" s="52"/>
      <c r="O36" s="52"/>
      <c r="P36" s="53"/>
      <c r="Q36" s="52"/>
      <c r="R36" s="38" t="str">
        <f>_xlfn.IFNA(VLOOKUP(E36,'Pre-Booked Holidays'!A:B,2,0),"")</f>
        <v/>
      </c>
      <c r="S36" s="38" t="str">
        <f>IF(E36="","",IF(IFERROR(VLOOKUP(E36,'Onbase Report'!D:E,2,0),"")&lt;&gt;"","Details in Onbase","No Details"))</f>
        <v/>
      </c>
      <c r="T36" s="38" t="str">
        <f>IF(LEFT('Salesforce Dump'!Q33,5)="BHX10",LEFT('Salesforce Dump'!Q33,5),LEFT('Salesforce Dump'!Q33,4))</f>
        <v/>
      </c>
    </row>
    <row r="37" spans="1:20" s="38" customFormat="1" ht="14.5" x14ac:dyDescent="0.35">
      <c r="A37" s="47" t="str">
        <f>IF('Salesforce Dump'!A34&lt;&gt;"",'Salesforce Dump'!A34,"")</f>
        <v/>
      </c>
      <c r="B37" s="48"/>
      <c r="C37" s="49" t="str">
        <f>IF('Salesforce Dump'!B34&lt;&gt;"",'Salesforce Dump'!B34,"")</f>
        <v/>
      </c>
      <c r="D37" s="48"/>
      <c r="E37" s="50" t="str">
        <f>IF('Salesforce Dump'!C34&lt;&gt;"",'Salesforce Dump'!C34,"")</f>
        <v/>
      </c>
      <c r="F37" s="49" t="str">
        <f>IF('Salesforce Dump'!D34&lt;&gt;"",'Salesforce Dump'!D34,"")</f>
        <v/>
      </c>
      <c r="G37" s="49" t="str">
        <f>IF('Salesforce Dump'!E34&lt;&gt;"",'Salesforce Dump'!E34,"")</f>
        <v/>
      </c>
      <c r="H37" s="49" t="str">
        <f>IF('Salesforce Dump'!G34&lt;&gt;"",'Salesforce Dump'!G34,"")</f>
        <v/>
      </c>
      <c r="I37" s="49" t="str">
        <f>IF('Salesforce Dump'!H34&lt;&gt;"",'Salesforce Dump'!H34,"")</f>
        <v/>
      </c>
      <c r="J37" s="51" t="str">
        <f>IF('Salesforce Dump'!I34&lt;&gt;"",'Salesforce Dump'!I34,"")</f>
        <v/>
      </c>
      <c r="K37" s="51" t="str">
        <f>IF('Salesforce Dump'!J34&lt;&gt;"",'Salesforce Dump'!J34,"")</f>
        <v/>
      </c>
      <c r="L37" s="52" t="str">
        <f>IFERROR(INDEX('OBA Dump'!C:C,MATCH($E37*1,'OBA Dump'!$A:$A,0)),"")</f>
        <v/>
      </c>
      <c r="M37" s="52" t="str">
        <f>IFERROR(INDEX('OBA Dump'!D:D,MATCH($E37*1,'OBA Dump'!$A:$A,0)),"")</f>
        <v/>
      </c>
      <c r="N37" s="52"/>
      <c r="O37" s="52"/>
      <c r="P37" s="53"/>
      <c r="Q37" s="52"/>
      <c r="R37" s="38" t="str">
        <f>_xlfn.IFNA(VLOOKUP(E37,'Pre-Booked Holidays'!A:B,2,0),"")</f>
        <v/>
      </c>
      <c r="S37" s="38" t="str">
        <f>IF(E37="","",IF(IFERROR(VLOOKUP(E37,'Onbase Report'!D:E,2,0),"")&lt;&gt;"","Details in Onbase","No Details"))</f>
        <v/>
      </c>
      <c r="T37" s="38" t="str">
        <f>IF(LEFT('Salesforce Dump'!Q34,5)="BHX10",LEFT('Salesforce Dump'!Q34,5),LEFT('Salesforce Dump'!Q34,4))</f>
        <v/>
      </c>
    </row>
    <row r="38" spans="1:20" s="38" customFormat="1" ht="14.5" x14ac:dyDescent="0.35">
      <c r="A38" s="47" t="str">
        <f>IF('Salesforce Dump'!A35&lt;&gt;"",'Salesforce Dump'!A35,"")</f>
        <v/>
      </c>
      <c r="B38" s="48"/>
      <c r="C38" s="49" t="str">
        <f>IF('Salesforce Dump'!B35&lt;&gt;"",'Salesforce Dump'!B35,"")</f>
        <v/>
      </c>
      <c r="D38" s="48"/>
      <c r="E38" s="50" t="str">
        <f>IF('Salesforce Dump'!C35&lt;&gt;"",'Salesforce Dump'!C35,"")</f>
        <v/>
      </c>
      <c r="F38" s="49" t="str">
        <f>IF('Salesforce Dump'!D35&lt;&gt;"",'Salesforce Dump'!D35,"")</f>
        <v/>
      </c>
      <c r="G38" s="49" t="str">
        <f>IF('Salesforce Dump'!E35&lt;&gt;"",'Salesforce Dump'!E35,"")</f>
        <v/>
      </c>
      <c r="H38" s="49" t="str">
        <f>IF('Salesforce Dump'!G35&lt;&gt;"",'Salesforce Dump'!G35,"")</f>
        <v/>
      </c>
      <c r="I38" s="49" t="str">
        <f>IF('Salesforce Dump'!H35&lt;&gt;"",'Salesforce Dump'!H35,"")</f>
        <v/>
      </c>
      <c r="J38" s="51" t="str">
        <f>IF('Salesforce Dump'!I35&lt;&gt;"",'Salesforce Dump'!I35,"")</f>
        <v/>
      </c>
      <c r="K38" s="51" t="str">
        <f>IF('Salesforce Dump'!J35&lt;&gt;"",'Salesforce Dump'!J35,"")</f>
        <v/>
      </c>
      <c r="L38" s="52" t="str">
        <f>IFERROR(INDEX('OBA Dump'!C:C,MATCH($E38*1,'OBA Dump'!$A:$A,0)),"")</f>
        <v/>
      </c>
      <c r="M38" s="52" t="str">
        <f>IFERROR(INDEX('OBA Dump'!D:D,MATCH($E38*1,'OBA Dump'!$A:$A,0)),"")</f>
        <v/>
      </c>
      <c r="N38" s="52"/>
      <c r="O38" s="52"/>
      <c r="P38" s="53"/>
      <c r="Q38" s="52"/>
      <c r="R38" s="38" t="str">
        <f>_xlfn.IFNA(VLOOKUP(E38,'Pre-Booked Holidays'!A:B,2,0),"")</f>
        <v/>
      </c>
      <c r="S38" s="38" t="str">
        <f>IF(E38="","",IF(IFERROR(VLOOKUP(E38,'Onbase Report'!D:E,2,0),"")&lt;&gt;"","Details in Onbase","No Details"))</f>
        <v/>
      </c>
      <c r="T38" s="38" t="str">
        <f>IF(LEFT('Salesforce Dump'!Q35,5)="BHX10",LEFT('Salesforce Dump'!Q35,5),LEFT('Salesforce Dump'!Q35,4))</f>
        <v/>
      </c>
    </row>
    <row r="39" spans="1:20" s="38" customFormat="1" ht="14.5" x14ac:dyDescent="0.35">
      <c r="A39" s="47" t="str">
        <f>IF('Salesforce Dump'!A36&lt;&gt;"",'Salesforce Dump'!A36,"")</f>
        <v/>
      </c>
      <c r="B39" s="48"/>
      <c r="C39" s="49" t="str">
        <f>IF('Salesforce Dump'!B36&lt;&gt;"",'Salesforce Dump'!B36,"")</f>
        <v/>
      </c>
      <c r="D39" s="48"/>
      <c r="E39" s="50" t="str">
        <f>IF('Salesforce Dump'!C36&lt;&gt;"",'Salesforce Dump'!C36,"")</f>
        <v/>
      </c>
      <c r="F39" s="49" t="str">
        <f>IF('Salesforce Dump'!D36&lt;&gt;"",'Salesforce Dump'!D36,"")</f>
        <v/>
      </c>
      <c r="G39" s="49" t="str">
        <f>IF('Salesforce Dump'!E36&lt;&gt;"",'Salesforce Dump'!E36,"")</f>
        <v/>
      </c>
      <c r="H39" s="49" t="str">
        <f>IF('Salesforce Dump'!G36&lt;&gt;"",'Salesforce Dump'!G36,"")</f>
        <v/>
      </c>
      <c r="I39" s="49" t="str">
        <f>IF('Salesforce Dump'!H36&lt;&gt;"",'Salesforce Dump'!H36,"")</f>
        <v/>
      </c>
      <c r="J39" s="51" t="str">
        <f>IF('Salesforce Dump'!I36&lt;&gt;"",'Salesforce Dump'!I36,"")</f>
        <v/>
      </c>
      <c r="K39" s="51" t="str">
        <f>IF('Salesforce Dump'!J36&lt;&gt;"",'Salesforce Dump'!J36,"")</f>
        <v/>
      </c>
      <c r="L39" s="52" t="str">
        <f>IFERROR(INDEX('OBA Dump'!C:C,MATCH($E39*1,'OBA Dump'!$A:$A,0)),"")</f>
        <v/>
      </c>
      <c r="M39" s="52" t="str">
        <f>IFERROR(INDEX('OBA Dump'!D:D,MATCH($E39*1,'OBA Dump'!$A:$A,0)),"")</f>
        <v/>
      </c>
      <c r="N39" s="52"/>
      <c r="O39" s="52"/>
      <c r="P39" s="53"/>
      <c r="Q39" s="52"/>
      <c r="R39" s="38" t="str">
        <f>_xlfn.IFNA(VLOOKUP(E39,'Pre-Booked Holidays'!A:B,2,0),"")</f>
        <v/>
      </c>
      <c r="S39" s="38" t="str">
        <f>IF(E39="","",IF(IFERROR(VLOOKUP(E39,'Onbase Report'!D:E,2,0),"")&lt;&gt;"","Details in Onbase","No Details"))</f>
        <v/>
      </c>
      <c r="T39" s="38" t="str">
        <f>IF(LEFT('Salesforce Dump'!Q36,5)="BHX10",LEFT('Salesforce Dump'!Q36,5),LEFT('Salesforce Dump'!Q36,4))</f>
        <v/>
      </c>
    </row>
    <row r="40" spans="1:20" s="38" customFormat="1" ht="14.5" x14ac:dyDescent="0.35">
      <c r="A40" s="47" t="str">
        <f>IF('Salesforce Dump'!A37&lt;&gt;"",'Salesforce Dump'!A37,"")</f>
        <v/>
      </c>
      <c r="B40" s="48"/>
      <c r="C40" s="49" t="str">
        <f>IF('Salesforce Dump'!B37&lt;&gt;"",'Salesforce Dump'!B37,"")</f>
        <v/>
      </c>
      <c r="D40" s="48"/>
      <c r="E40" s="50" t="str">
        <f>IF('Salesforce Dump'!C37&lt;&gt;"",'Salesforce Dump'!C37,"")</f>
        <v/>
      </c>
      <c r="F40" s="49" t="str">
        <f>IF('Salesforce Dump'!D37&lt;&gt;"",'Salesforce Dump'!D37,"")</f>
        <v/>
      </c>
      <c r="G40" s="49" t="str">
        <f>IF('Salesforce Dump'!E37&lt;&gt;"",'Salesforce Dump'!E37,"")</f>
        <v/>
      </c>
      <c r="H40" s="49" t="str">
        <f>IF('Salesforce Dump'!G37&lt;&gt;"",'Salesforce Dump'!G37,"")</f>
        <v/>
      </c>
      <c r="I40" s="49" t="str">
        <f>IF('Salesforce Dump'!H37&lt;&gt;"",'Salesforce Dump'!H37,"")</f>
        <v/>
      </c>
      <c r="J40" s="51" t="str">
        <f>IF('Salesforce Dump'!I37&lt;&gt;"",'Salesforce Dump'!I37,"")</f>
        <v/>
      </c>
      <c r="K40" s="51" t="str">
        <f>IF('Salesforce Dump'!J37&lt;&gt;"",'Salesforce Dump'!J37,"")</f>
        <v/>
      </c>
      <c r="L40" s="52" t="str">
        <f>IFERROR(INDEX('OBA Dump'!C:C,MATCH($E40*1,'OBA Dump'!$A:$A,0)),"")</f>
        <v/>
      </c>
      <c r="M40" s="52" t="str">
        <f>IFERROR(INDEX('OBA Dump'!D:D,MATCH($E40*1,'OBA Dump'!$A:$A,0)),"")</f>
        <v/>
      </c>
      <c r="N40" s="52"/>
      <c r="O40" s="52"/>
      <c r="P40" s="53"/>
      <c r="Q40" s="52"/>
      <c r="R40" s="38" t="str">
        <f>_xlfn.IFNA(VLOOKUP(E40,'Pre-Booked Holidays'!A:B,2,0),"")</f>
        <v/>
      </c>
      <c r="S40" s="38" t="str">
        <f>IF(E40="","",IF(IFERROR(VLOOKUP(E40,'Onbase Report'!D:E,2,0),"")&lt;&gt;"","Details in Onbase","No Details"))</f>
        <v/>
      </c>
      <c r="T40" s="38" t="str">
        <f>IF(LEFT('Salesforce Dump'!Q37,5)="BHX10",LEFT('Salesforce Dump'!Q37,5),LEFT('Salesforce Dump'!Q37,4))</f>
        <v/>
      </c>
    </row>
    <row r="41" spans="1:20" s="38" customFormat="1" ht="14.5" x14ac:dyDescent="0.35">
      <c r="A41" s="47" t="str">
        <f>IF('Salesforce Dump'!A38&lt;&gt;"",'Salesforce Dump'!A38,"")</f>
        <v/>
      </c>
      <c r="B41" s="48"/>
      <c r="C41" s="49" t="str">
        <f>IF('Salesforce Dump'!B38&lt;&gt;"",'Salesforce Dump'!B38,"")</f>
        <v/>
      </c>
      <c r="D41" s="48"/>
      <c r="E41" s="50" t="str">
        <f>IF('Salesforce Dump'!C38&lt;&gt;"",'Salesforce Dump'!C38,"")</f>
        <v/>
      </c>
      <c r="F41" s="49" t="str">
        <f>IF('Salesforce Dump'!D38&lt;&gt;"",'Salesforce Dump'!D38,"")</f>
        <v/>
      </c>
      <c r="G41" s="49" t="str">
        <f>IF('Salesforce Dump'!E38&lt;&gt;"",'Salesforce Dump'!E38,"")</f>
        <v/>
      </c>
      <c r="H41" s="49" t="str">
        <f>IF('Salesforce Dump'!G38&lt;&gt;"",'Salesforce Dump'!G38,"")</f>
        <v/>
      </c>
      <c r="I41" s="49" t="str">
        <f>IF('Salesforce Dump'!H38&lt;&gt;"",'Salesforce Dump'!H38,"")</f>
        <v/>
      </c>
      <c r="J41" s="51" t="str">
        <f>IF('Salesforce Dump'!I38&lt;&gt;"",'Salesforce Dump'!I38,"")</f>
        <v/>
      </c>
      <c r="K41" s="51" t="str">
        <f>IF('Salesforce Dump'!J38&lt;&gt;"",'Salesforce Dump'!J38,"")</f>
        <v/>
      </c>
      <c r="L41" s="52" t="str">
        <f>IFERROR(INDEX('OBA Dump'!C:C,MATCH($E41*1,'OBA Dump'!$A:$A,0)),"")</f>
        <v/>
      </c>
      <c r="M41" s="52" t="str">
        <f>IFERROR(INDEX('OBA Dump'!D:D,MATCH($E41*1,'OBA Dump'!$A:$A,0)),"")</f>
        <v/>
      </c>
      <c r="N41" s="52"/>
      <c r="O41" s="52"/>
      <c r="P41" s="53"/>
      <c r="Q41" s="52"/>
      <c r="R41" s="38" t="str">
        <f>_xlfn.IFNA(VLOOKUP(E41,'Pre-Booked Holidays'!A:B,2,0),"")</f>
        <v/>
      </c>
      <c r="S41" s="38" t="str">
        <f>IF(E41="","",IF(IFERROR(VLOOKUP(E41,'Onbase Report'!D:E,2,0),"")&lt;&gt;"","Details in Onbase","No Details"))</f>
        <v/>
      </c>
      <c r="T41" s="38" t="str">
        <f>IF(LEFT('Salesforce Dump'!Q38,5)="BHX10",LEFT('Salesforce Dump'!Q38,5),LEFT('Salesforce Dump'!Q38,4))</f>
        <v/>
      </c>
    </row>
    <row r="42" spans="1:20" s="38" customFormat="1" ht="14.5" x14ac:dyDescent="0.35">
      <c r="A42" s="47" t="str">
        <f>IF('Salesforce Dump'!A39&lt;&gt;"",'Salesforce Dump'!A39,"")</f>
        <v/>
      </c>
      <c r="B42" s="48"/>
      <c r="C42" s="49" t="str">
        <f>IF('Salesforce Dump'!B39&lt;&gt;"",'Salesforce Dump'!B39,"")</f>
        <v/>
      </c>
      <c r="D42" s="48"/>
      <c r="E42" s="50" t="str">
        <f>IF('Salesforce Dump'!C39&lt;&gt;"",'Salesforce Dump'!C39,"")</f>
        <v/>
      </c>
      <c r="F42" s="49" t="str">
        <f>IF('Salesforce Dump'!D39&lt;&gt;"",'Salesforce Dump'!D39,"")</f>
        <v/>
      </c>
      <c r="G42" s="49" t="str">
        <f>IF('Salesforce Dump'!E39&lt;&gt;"",'Salesforce Dump'!E39,"")</f>
        <v/>
      </c>
      <c r="H42" s="49" t="str">
        <f>IF('Salesforce Dump'!G39&lt;&gt;"",'Salesforce Dump'!G39,"")</f>
        <v/>
      </c>
      <c r="I42" s="49" t="str">
        <f>IF('Salesforce Dump'!H39&lt;&gt;"",'Salesforce Dump'!H39,"")</f>
        <v/>
      </c>
      <c r="J42" s="51" t="str">
        <f>IF('Salesforce Dump'!I39&lt;&gt;"",'Salesforce Dump'!I39,"")</f>
        <v/>
      </c>
      <c r="K42" s="51" t="str">
        <f>IF('Salesforce Dump'!J39&lt;&gt;"",'Salesforce Dump'!J39,"")</f>
        <v/>
      </c>
      <c r="L42" s="52" t="str">
        <f>IFERROR(INDEX('OBA Dump'!C:C,MATCH($E42*1,'OBA Dump'!$A:$A,0)),"")</f>
        <v/>
      </c>
      <c r="M42" s="52" t="str">
        <f>IFERROR(INDEX('OBA Dump'!D:D,MATCH($E42*1,'OBA Dump'!$A:$A,0)),"")</f>
        <v/>
      </c>
      <c r="N42" s="52"/>
      <c r="O42" s="52"/>
      <c r="P42" s="53"/>
      <c r="Q42" s="52"/>
      <c r="R42" s="38" t="str">
        <f>_xlfn.IFNA(VLOOKUP(E42,'Pre-Booked Holidays'!A:B,2,0),"")</f>
        <v/>
      </c>
      <c r="S42" s="38" t="str">
        <f>IF(E42="","",IF(IFERROR(VLOOKUP(E42,'Onbase Report'!D:E,2,0),"")&lt;&gt;"","Details in Onbase","No Details"))</f>
        <v/>
      </c>
      <c r="T42" s="38" t="str">
        <f>IF(LEFT('Salesforce Dump'!Q39,5)="BHX10",LEFT('Salesforce Dump'!Q39,5),LEFT('Salesforce Dump'!Q39,4))</f>
        <v/>
      </c>
    </row>
    <row r="43" spans="1:20" s="38" customFormat="1" ht="14.5" x14ac:dyDescent="0.35">
      <c r="A43" s="47" t="str">
        <f>IF('Salesforce Dump'!A40&lt;&gt;"",'Salesforce Dump'!A40,"")</f>
        <v/>
      </c>
      <c r="B43" s="48"/>
      <c r="C43" s="49" t="str">
        <f>IF('Salesforce Dump'!B40&lt;&gt;"",'Salesforce Dump'!B40,"")</f>
        <v/>
      </c>
      <c r="D43" s="48"/>
      <c r="E43" s="50" t="str">
        <f>IF('Salesforce Dump'!C40&lt;&gt;"",'Salesforce Dump'!C40,"")</f>
        <v/>
      </c>
      <c r="F43" s="49" t="str">
        <f>IF('Salesforce Dump'!D40&lt;&gt;"",'Salesforce Dump'!D40,"")</f>
        <v/>
      </c>
      <c r="G43" s="49" t="str">
        <f>IF('Salesforce Dump'!E40&lt;&gt;"",'Salesforce Dump'!E40,"")</f>
        <v/>
      </c>
      <c r="H43" s="49" t="str">
        <f>IF('Salesforce Dump'!G40&lt;&gt;"",'Salesforce Dump'!G40,"")</f>
        <v/>
      </c>
      <c r="I43" s="49" t="str">
        <f>IF('Salesforce Dump'!H40&lt;&gt;"",'Salesforce Dump'!H40,"")</f>
        <v/>
      </c>
      <c r="J43" s="51" t="str">
        <f>IF('Salesforce Dump'!I40&lt;&gt;"",'Salesforce Dump'!I40,"")</f>
        <v/>
      </c>
      <c r="K43" s="51" t="str">
        <f>IF('Salesforce Dump'!J40&lt;&gt;"",'Salesforce Dump'!J40,"")</f>
        <v/>
      </c>
      <c r="L43" s="52" t="str">
        <f>IFERROR(INDEX('OBA Dump'!C:C,MATCH($E43*1,'OBA Dump'!$A:$A,0)),"")</f>
        <v/>
      </c>
      <c r="M43" s="52" t="str">
        <f>IFERROR(INDEX('OBA Dump'!D:D,MATCH($E43*1,'OBA Dump'!$A:$A,0)),"")</f>
        <v/>
      </c>
      <c r="N43" s="52"/>
      <c r="O43" s="52"/>
      <c r="P43" s="53"/>
      <c r="Q43" s="52"/>
      <c r="R43" s="38" t="str">
        <f>_xlfn.IFNA(VLOOKUP(E43,'Pre-Booked Holidays'!A:B,2,0),"")</f>
        <v/>
      </c>
      <c r="S43" s="38" t="str">
        <f>IF(E43="","",IF(IFERROR(VLOOKUP(E43,'Onbase Report'!D:E,2,0),"")&lt;&gt;"","Details in Onbase","No Details"))</f>
        <v/>
      </c>
      <c r="T43" s="38" t="str">
        <f>IF(LEFT('Salesforce Dump'!Q40,5)="BHX10",LEFT('Salesforce Dump'!Q40,5),LEFT('Salesforce Dump'!Q40,4))</f>
        <v/>
      </c>
    </row>
    <row r="44" spans="1:20" s="38" customFormat="1" ht="14.5" x14ac:dyDescent="0.35">
      <c r="A44" s="47" t="str">
        <f>IF('Salesforce Dump'!A41&lt;&gt;"",'Salesforce Dump'!A41,"")</f>
        <v/>
      </c>
      <c r="B44" s="48"/>
      <c r="C44" s="49" t="str">
        <f>IF('Salesforce Dump'!B41&lt;&gt;"",'Salesforce Dump'!B41,"")</f>
        <v/>
      </c>
      <c r="D44" s="48"/>
      <c r="E44" s="50" t="str">
        <f>IF('Salesforce Dump'!C41&lt;&gt;"",'Salesforce Dump'!C41,"")</f>
        <v/>
      </c>
      <c r="F44" s="49" t="str">
        <f>IF('Salesforce Dump'!D41&lt;&gt;"",'Salesforce Dump'!D41,"")</f>
        <v/>
      </c>
      <c r="G44" s="49" t="str">
        <f>IF('Salesforce Dump'!E41&lt;&gt;"",'Salesforce Dump'!E41,"")</f>
        <v/>
      </c>
      <c r="H44" s="49" t="str">
        <f>IF('Salesforce Dump'!G41&lt;&gt;"",'Salesforce Dump'!G41,"")</f>
        <v/>
      </c>
      <c r="I44" s="49" t="str">
        <f>IF('Salesforce Dump'!H41&lt;&gt;"",'Salesforce Dump'!H41,"")</f>
        <v/>
      </c>
      <c r="J44" s="51" t="str">
        <f>IF('Salesforce Dump'!I41&lt;&gt;"",'Salesforce Dump'!I41,"")</f>
        <v/>
      </c>
      <c r="K44" s="51" t="str">
        <f>IF('Salesforce Dump'!J41&lt;&gt;"",'Salesforce Dump'!J41,"")</f>
        <v/>
      </c>
      <c r="L44" s="52" t="str">
        <f>IFERROR(INDEX('OBA Dump'!C:C,MATCH($E44*1,'OBA Dump'!$A:$A,0)),"")</f>
        <v/>
      </c>
      <c r="M44" s="52" t="str">
        <f>IFERROR(INDEX('OBA Dump'!D:D,MATCH($E44*1,'OBA Dump'!$A:$A,0)),"")</f>
        <v/>
      </c>
      <c r="N44" s="52"/>
      <c r="O44" s="52"/>
      <c r="P44" s="53"/>
      <c r="Q44" s="52"/>
      <c r="R44" s="38" t="str">
        <f>_xlfn.IFNA(VLOOKUP(E44,'Pre-Booked Holidays'!A:B,2,0),"")</f>
        <v/>
      </c>
      <c r="S44" s="38" t="str">
        <f>IF(E44="","",IF(IFERROR(VLOOKUP(E44,'Onbase Report'!D:E,2,0),"")&lt;&gt;"","Details in Onbase","No Details"))</f>
        <v/>
      </c>
      <c r="T44" s="38" t="str">
        <f>IF(LEFT('Salesforce Dump'!Q41,5)="BHX10",LEFT('Salesforce Dump'!Q41,5),LEFT('Salesforce Dump'!Q41,4))</f>
        <v/>
      </c>
    </row>
    <row r="45" spans="1:20" s="38" customFormat="1" ht="14.5" x14ac:dyDescent="0.35">
      <c r="A45" s="47" t="str">
        <f>IF('Salesforce Dump'!A42&lt;&gt;"",'Salesforce Dump'!A42,"")</f>
        <v/>
      </c>
      <c r="B45" s="48"/>
      <c r="C45" s="49" t="str">
        <f>IF('Salesforce Dump'!B42&lt;&gt;"",'Salesforce Dump'!B42,"")</f>
        <v/>
      </c>
      <c r="D45" s="48"/>
      <c r="E45" s="50" t="str">
        <f>IF('Salesforce Dump'!C42&lt;&gt;"",'Salesforce Dump'!C42,"")</f>
        <v/>
      </c>
      <c r="F45" s="49" t="str">
        <f>IF('Salesforce Dump'!D42&lt;&gt;"",'Salesforce Dump'!D42,"")</f>
        <v/>
      </c>
      <c r="G45" s="49" t="str">
        <f>IF('Salesforce Dump'!E42&lt;&gt;"",'Salesforce Dump'!E42,"")</f>
        <v/>
      </c>
      <c r="H45" s="49" t="str">
        <f>IF('Salesforce Dump'!G42&lt;&gt;"",'Salesforce Dump'!G42,"")</f>
        <v/>
      </c>
      <c r="I45" s="49" t="str">
        <f>IF('Salesforce Dump'!H42&lt;&gt;"",'Salesforce Dump'!H42,"")</f>
        <v/>
      </c>
      <c r="J45" s="51" t="str">
        <f>IF('Salesforce Dump'!I42&lt;&gt;"",'Salesforce Dump'!I42,"")</f>
        <v/>
      </c>
      <c r="K45" s="51" t="str">
        <f>IF('Salesforce Dump'!J42&lt;&gt;"",'Salesforce Dump'!J42,"")</f>
        <v/>
      </c>
      <c r="L45" s="52" t="str">
        <f>IFERROR(INDEX('OBA Dump'!C:C,MATCH($E45*1,'OBA Dump'!$A:$A,0)),"")</f>
        <v/>
      </c>
      <c r="M45" s="52" t="str">
        <f>IFERROR(INDEX('OBA Dump'!D:D,MATCH($E45*1,'OBA Dump'!$A:$A,0)),"")</f>
        <v/>
      </c>
      <c r="N45" s="52"/>
      <c r="O45" s="52"/>
      <c r="P45" s="53"/>
      <c r="Q45" s="52"/>
      <c r="R45" s="38" t="str">
        <f>_xlfn.IFNA(VLOOKUP(E45,'Pre-Booked Holidays'!A:B,2,0),"")</f>
        <v/>
      </c>
      <c r="S45" s="38" t="str">
        <f>IF(E45="","",IF(IFERROR(VLOOKUP(E45,'Onbase Report'!D:E,2,0),"")&lt;&gt;"","Details in Onbase","No Details"))</f>
        <v/>
      </c>
      <c r="T45" s="38" t="str">
        <f>IF(LEFT('Salesforce Dump'!Q42,5)="BHX10",LEFT('Salesforce Dump'!Q42,5),LEFT('Salesforce Dump'!Q42,4))</f>
        <v/>
      </c>
    </row>
    <row r="46" spans="1:20" s="38" customFormat="1" ht="14.5" x14ac:dyDescent="0.35">
      <c r="A46" s="47" t="str">
        <f>IF('Salesforce Dump'!A43&lt;&gt;"",'Salesforce Dump'!A43,"")</f>
        <v/>
      </c>
      <c r="B46" s="48"/>
      <c r="C46" s="49" t="str">
        <f>IF('Salesforce Dump'!B43&lt;&gt;"",'Salesforce Dump'!B43,"")</f>
        <v/>
      </c>
      <c r="D46" s="48"/>
      <c r="E46" s="50" t="str">
        <f>IF('Salesforce Dump'!C43&lt;&gt;"",'Salesforce Dump'!C43,"")</f>
        <v/>
      </c>
      <c r="F46" s="49" t="str">
        <f>IF('Salesforce Dump'!D43&lt;&gt;"",'Salesforce Dump'!D43,"")</f>
        <v/>
      </c>
      <c r="G46" s="49" t="str">
        <f>IF('Salesforce Dump'!E43&lt;&gt;"",'Salesforce Dump'!E43,"")</f>
        <v/>
      </c>
      <c r="H46" s="49" t="str">
        <f>IF('Salesforce Dump'!G43&lt;&gt;"",'Salesforce Dump'!G43,"")</f>
        <v/>
      </c>
      <c r="I46" s="49" t="str">
        <f>IF('Salesforce Dump'!H43&lt;&gt;"",'Salesforce Dump'!H43,"")</f>
        <v/>
      </c>
      <c r="J46" s="51" t="str">
        <f>IF('Salesforce Dump'!I43&lt;&gt;"",'Salesforce Dump'!I43,"")</f>
        <v/>
      </c>
      <c r="K46" s="51" t="str">
        <f>IF('Salesforce Dump'!J43&lt;&gt;"",'Salesforce Dump'!J43,"")</f>
        <v/>
      </c>
      <c r="L46" s="52" t="str">
        <f>IFERROR(INDEX('OBA Dump'!C:C,MATCH($E46*1,'OBA Dump'!$A:$A,0)),"")</f>
        <v/>
      </c>
      <c r="M46" s="52" t="str">
        <f>IFERROR(INDEX('OBA Dump'!D:D,MATCH($E46*1,'OBA Dump'!$A:$A,0)),"")</f>
        <v/>
      </c>
      <c r="N46" s="52"/>
      <c r="O46" s="52"/>
      <c r="P46" s="53"/>
      <c r="Q46" s="52"/>
      <c r="R46" s="38" t="str">
        <f>_xlfn.IFNA(VLOOKUP(E46,'Pre-Booked Holidays'!A:B,2,0),"")</f>
        <v/>
      </c>
      <c r="S46" s="38" t="str">
        <f>IF(E46="","",IF(IFERROR(VLOOKUP(E46,'Onbase Report'!D:E,2,0),"")&lt;&gt;"","Details in Onbase","No Details"))</f>
        <v/>
      </c>
      <c r="T46" s="38" t="str">
        <f>IF(LEFT('Salesforce Dump'!Q43,5)="BHX10",LEFT('Salesforce Dump'!Q43,5),LEFT('Salesforce Dump'!Q43,4))</f>
        <v/>
      </c>
    </row>
    <row r="47" spans="1:20" s="38" customFormat="1" ht="14.5" x14ac:dyDescent="0.35">
      <c r="A47" s="47" t="str">
        <f>IF('Salesforce Dump'!A44&lt;&gt;"",'Salesforce Dump'!A44,"")</f>
        <v/>
      </c>
      <c r="B47" s="48"/>
      <c r="C47" s="49" t="str">
        <f>IF('Salesforce Dump'!B44&lt;&gt;"",'Salesforce Dump'!B44,"")</f>
        <v/>
      </c>
      <c r="D47" s="48"/>
      <c r="E47" s="50" t="str">
        <f>IF('Salesforce Dump'!C44&lt;&gt;"",'Salesforce Dump'!C44,"")</f>
        <v/>
      </c>
      <c r="F47" s="49" t="str">
        <f>IF('Salesforce Dump'!D44&lt;&gt;"",'Salesforce Dump'!D44,"")</f>
        <v/>
      </c>
      <c r="G47" s="49" t="str">
        <f>IF('Salesforce Dump'!E44&lt;&gt;"",'Salesforce Dump'!E44,"")</f>
        <v/>
      </c>
      <c r="H47" s="49" t="str">
        <f>IF('Salesforce Dump'!G44&lt;&gt;"",'Salesforce Dump'!G44,"")</f>
        <v/>
      </c>
      <c r="I47" s="49" t="str">
        <f>IF('Salesforce Dump'!H44&lt;&gt;"",'Salesforce Dump'!H44,"")</f>
        <v/>
      </c>
      <c r="J47" s="51" t="str">
        <f>IF('Salesforce Dump'!I44&lt;&gt;"",'Salesforce Dump'!I44,"")</f>
        <v/>
      </c>
      <c r="K47" s="51" t="str">
        <f>IF('Salesforce Dump'!J44&lt;&gt;"",'Salesforce Dump'!J44,"")</f>
        <v/>
      </c>
      <c r="L47" s="52" t="str">
        <f>IFERROR(INDEX('OBA Dump'!C:C,MATCH($E47*1,'OBA Dump'!$A:$A,0)),"")</f>
        <v/>
      </c>
      <c r="M47" s="52" t="str">
        <f>IFERROR(INDEX('OBA Dump'!D:D,MATCH($E47*1,'OBA Dump'!$A:$A,0)),"")</f>
        <v/>
      </c>
      <c r="N47" s="52"/>
      <c r="O47" s="52"/>
      <c r="P47" s="53"/>
      <c r="Q47" s="52"/>
      <c r="R47" s="38" t="str">
        <f>_xlfn.IFNA(VLOOKUP(E47,'Pre-Booked Holidays'!A:B,2,0),"")</f>
        <v/>
      </c>
      <c r="S47" s="38" t="str">
        <f>IF(E47="","",IF(IFERROR(VLOOKUP(E47,'Onbase Report'!D:E,2,0),"")&lt;&gt;"","Details in Onbase","No Details"))</f>
        <v/>
      </c>
      <c r="T47" s="38" t="str">
        <f>IF(LEFT('Salesforce Dump'!Q44,5)="BHX10",LEFT('Salesforce Dump'!Q44,5),LEFT('Salesforce Dump'!Q44,4))</f>
        <v/>
      </c>
    </row>
    <row r="48" spans="1:20" s="38" customFormat="1" ht="14.5" x14ac:dyDescent="0.35">
      <c r="A48" s="47" t="str">
        <f>IF('Salesforce Dump'!A45&lt;&gt;"",'Salesforce Dump'!A45,"")</f>
        <v/>
      </c>
      <c r="B48" s="48"/>
      <c r="C48" s="49" t="str">
        <f>IF('Salesforce Dump'!B45&lt;&gt;"",'Salesforce Dump'!B45,"")</f>
        <v/>
      </c>
      <c r="D48" s="48"/>
      <c r="E48" s="50" t="str">
        <f>IF('Salesforce Dump'!C45&lt;&gt;"",'Salesforce Dump'!C45,"")</f>
        <v/>
      </c>
      <c r="F48" s="49" t="str">
        <f>IF('Salesforce Dump'!D45&lt;&gt;"",'Salesforce Dump'!D45,"")</f>
        <v/>
      </c>
      <c r="G48" s="49" t="str">
        <f>IF('Salesforce Dump'!E45&lt;&gt;"",'Salesforce Dump'!E45,"")</f>
        <v/>
      </c>
      <c r="H48" s="49" t="str">
        <f>IF('Salesforce Dump'!G45&lt;&gt;"",'Salesforce Dump'!G45,"")</f>
        <v/>
      </c>
      <c r="I48" s="49" t="str">
        <f>IF('Salesforce Dump'!H45&lt;&gt;"",'Salesforce Dump'!H45,"")</f>
        <v/>
      </c>
      <c r="J48" s="51" t="str">
        <f>IF('Salesforce Dump'!I45&lt;&gt;"",'Salesforce Dump'!I45,"")</f>
        <v/>
      </c>
      <c r="K48" s="51" t="str">
        <f>IF('Salesforce Dump'!J45&lt;&gt;"",'Salesforce Dump'!J45,"")</f>
        <v/>
      </c>
      <c r="L48" s="52" t="str">
        <f>IFERROR(INDEX('OBA Dump'!C:C,MATCH($E48*1,'OBA Dump'!$A:$A,0)),"")</f>
        <v/>
      </c>
      <c r="M48" s="52" t="str">
        <f>IFERROR(INDEX('OBA Dump'!D:D,MATCH($E48*1,'OBA Dump'!$A:$A,0)),"")</f>
        <v/>
      </c>
      <c r="N48" s="52"/>
      <c r="O48" s="52"/>
      <c r="P48" s="53"/>
      <c r="Q48" s="52"/>
      <c r="R48" s="38" t="str">
        <f>_xlfn.IFNA(VLOOKUP(E48,'Pre-Booked Holidays'!A:B,2,0),"")</f>
        <v/>
      </c>
      <c r="S48" s="38" t="str">
        <f>IF(E48="","",IF(IFERROR(VLOOKUP(E48,'Onbase Report'!D:E,2,0),"")&lt;&gt;"","Details in Onbase","No Details"))</f>
        <v/>
      </c>
      <c r="T48" s="38" t="str">
        <f>IF(LEFT('Salesforce Dump'!Q45,5)="BHX10",LEFT('Salesforce Dump'!Q45,5),LEFT('Salesforce Dump'!Q45,4))</f>
        <v/>
      </c>
    </row>
    <row r="49" spans="1:20" s="38" customFormat="1" ht="14.5" x14ac:dyDescent="0.35">
      <c r="A49" s="47" t="str">
        <f>IF('Salesforce Dump'!A46&lt;&gt;"",'Salesforce Dump'!A46,"")</f>
        <v/>
      </c>
      <c r="B49" s="48"/>
      <c r="C49" s="49" t="str">
        <f>IF('Salesforce Dump'!B46&lt;&gt;"",'Salesforce Dump'!B46,"")</f>
        <v/>
      </c>
      <c r="D49" s="48"/>
      <c r="E49" s="50" t="str">
        <f>IF('Salesforce Dump'!C46&lt;&gt;"",'Salesforce Dump'!C46,"")</f>
        <v/>
      </c>
      <c r="F49" s="49" t="str">
        <f>IF('Salesforce Dump'!D46&lt;&gt;"",'Salesforce Dump'!D46,"")</f>
        <v/>
      </c>
      <c r="G49" s="49" t="str">
        <f>IF('Salesforce Dump'!E46&lt;&gt;"",'Salesforce Dump'!E46,"")</f>
        <v/>
      </c>
      <c r="H49" s="49" t="str">
        <f>IF('Salesforce Dump'!G46&lt;&gt;"",'Salesforce Dump'!G46,"")</f>
        <v/>
      </c>
      <c r="I49" s="49" t="str">
        <f>IF('Salesforce Dump'!H46&lt;&gt;"",'Salesforce Dump'!H46,"")</f>
        <v/>
      </c>
      <c r="J49" s="51" t="str">
        <f>IF('Salesforce Dump'!I46&lt;&gt;"",'Salesforce Dump'!I46,"")</f>
        <v/>
      </c>
      <c r="K49" s="51" t="str">
        <f>IF('Salesforce Dump'!J46&lt;&gt;"",'Salesforce Dump'!J46,"")</f>
        <v/>
      </c>
      <c r="L49" s="52" t="str">
        <f>IFERROR(INDEX('OBA Dump'!C:C,MATCH($E49*1,'OBA Dump'!$A:$A,0)),"")</f>
        <v/>
      </c>
      <c r="M49" s="52" t="str">
        <f>IFERROR(INDEX('OBA Dump'!D:D,MATCH($E49*1,'OBA Dump'!$A:$A,0)),"")</f>
        <v/>
      </c>
      <c r="N49" s="52"/>
      <c r="O49" s="52"/>
      <c r="P49" s="53"/>
      <c r="Q49" s="52"/>
      <c r="R49" s="38" t="str">
        <f>_xlfn.IFNA(VLOOKUP(E49,'Pre-Booked Holidays'!A:B,2,0),"")</f>
        <v/>
      </c>
      <c r="S49" s="38" t="str">
        <f>IF(E49="","",IF(IFERROR(VLOOKUP(E49,'Onbase Report'!D:E,2,0),"")&lt;&gt;"","Details in Onbase","No Details"))</f>
        <v/>
      </c>
      <c r="T49" s="38" t="str">
        <f>IF(LEFT('Salesforce Dump'!Q46,5)="BHX10",LEFT('Salesforce Dump'!Q46,5),LEFT('Salesforce Dump'!Q46,4))</f>
        <v/>
      </c>
    </row>
    <row r="50" spans="1:20" s="38" customFormat="1" ht="14.5" x14ac:dyDescent="0.35">
      <c r="A50" s="47" t="str">
        <f>IF('Salesforce Dump'!A47&lt;&gt;"",'Salesforce Dump'!A47,"")</f>
        <v/>
      </c>
      <c r="B50" s="48"/>
      <c r="C50" s="49" t="str">
        <f>IF('Salesforce Dump'!B47&lt;&gt;"",'Salesforce Dump'!B47,"")</f>
        <v/>
      </c>
      <c r="D50" s="48"/>
      <c r="E50" s="50" t="str">
        <f>IF('Salesforce Dump'!C47&lt;&gt;"",'Salesforce Dump'!C47,"")</f>
        <v/>
      </c>
      <c r="F50" s="49" t="str">
        <f>IF('Salesforce Dump'!D47&lt;&gt;"",'Salesforce Dump'!D47,"")</f>
        <v/>
      </c>
      <c r="G50" s="49" t="str">
        <f>IF('Salesforce Dump'!E47&lt;&gt;"",'Salesforce Dump'!E47,"")</f>
        <v/>
      </c>
      <c r="H50" s="49" t="str">
        <f>IF('Salesforce Dump'!G47&lt;&gt;"",'Salesforce Dump'!G47,"")</f>
        <v/>
      </c>
      <c r="I50" s="49" t="str">
        <f>IF('Salesforce Dump'!H47&lt;&gt;"",'Salesforce Dump'!H47,"")</f>
        <v/>
      </c>
      <c r="J50" s="51" t="str">
        <f>IF('Salesforce Dump'!I47&lt;&gt;"",'Salesforce Dump'!I47,"")</f>
        <v/>
      </c>
      <c r="K50" s="51" t="str">
        <f>IF('Salesforce Dump'!J47&lt;&gt;"",'Salesforce Dump'!J47,"")</f>
        <v/>
      </c>
      <c r="L50" s="52" t="str">
        <f>IFERROR(INDEX('OBA Dump'!C:C,MATCH($E50*1,'OBA Dump'!$A:$A,0)),"")</f>
        <v/>
      </c>
      <c r="M50" s="52" t="str">
        <f>IFERROR(INDEX('OBA Dump'!D:D,MATCH($E50*1,'OBA Dump'!$A:$A,0)),"")</f>
        <v/>
      </c>
      <c r="N50" s="52"/>
      <c r="O50" s="52"/>
      <c r="P50" s="53"/>
      <c r="Q50" s="52"/>
      <c r="R50" s="38" t="str">
        <f>_xlfn.IFNA(VLOOKUP(E50,'Pre-Booked Holidays'!A:B,2,0),"")</f>
        <v/>
      </c>
      <c r="S50" s="38" t="str">
        <f>IF(E50="","",IF(IFERROR(VLOOKUP(E50,'Onbase Report'!D:E,2,0),"")&lt;&gt;"","Details in Onbase","No Details"))</f>
        <v/>
      </c>
      <c r="T50" s="38" t="str">
        <f>IF(LEFT('Salesforce Dump'!Q47,5)="BHX10",LEFT('Salesforce Dump'!Q47,5),LEFT('Salesforce Dump'!Q47,4))</f>
        <v/>
      </c>
    </row>
    <row r="51" spans="1:20" s="38" customFormat="1" ht="14.5" x14ac:dyDescent="0.35">
      <c r="A51" s="47" t="str">
        <f>IF('Salesforce Dump'!A48&lt;&gt;"",'Salesforce Dump'!A48,"")</f>
        <v/>
      </c>
      <c r="B51" s="48"/>
      <c r="C51" s="49" t="str">
        <f>IF('Salesforce Dump'!B48&lt;&gt;"",'Salesforce Dump'!B48,"")</f>
        <v/>
      </c>
      <c r="D51" s="48"/>
      <c r="E51" s="50" t="str">
        <f>IF('Salesforce Dump'!C48&lt;&gt;"",'Salesforce Dump'!C48,"")</f>
        <v/>
      </c>
      <c r="F51" s="49" t="str">
        <f>IF('Salesforce Dump'!D48&lt;&gt;"",'Salesforce Dump'!D48,"")</f>
        <v/>
      </c>
      <c r="G51" s="49" t="str">
        <f>IF('Salesforce Dump'!E48&lt;&gt;"",'Salesforce Dump'!E48,"")</f>
        <v/>
      </c>
      <c r="H51" s="49" t="str">
        <f>IF('Salesforce Dump'!G48&lt;&gt;"",'Salesforce Dump'!G48,"")</f>
        <v/>
      </c>
      <c r="I51" s="49" t="str">
        <f>IF('Salesforce Dump'!H48&lt;&gt;"",'Salesforce Dump'!H48,"")</f>
        <v/>
      </c>
      <c r="J51" s="51" t="str">
        <f>IF('Salesforce Dump'!I48&lt;&gt;"",'Salesforce Dump'!I48,"")</f>
        <v/>
      </c>
      <c r="K51" s="51" t="str">
        <f>IF('Salesforce Dump'!J48&lt;&gt;"",'Salesforce Dump'!J48,"")</f>
        <v/>
      </c>
      <c r="L51" s="52" t="str">
        <f>IFERROR(INDEX('OBA Dump'!C:C,MATCH($E51*1,'OBA Dump'!$A:$A,0)),"")</f>
        <v/>
      </c>
      <c r="M51" s="52" t="str">
        <f>IFERROR(INDEX('OBA Dump'!D:D,MATCH($E51*1,'OBA Dump'!$A:$A,0)),"")</f>
        <v/>
      </c>
      <c r="N51" s="52"/>
      <c r="O51" s="52"/>
      <c r="P51" s="53"/>
      <c r="Q51" s="52"/>
      <c r="R51" s="38" t="str">
        <f>_xlfn.IFNA(VLOOKUP(E51,'Pre-Booked Holidays'!A:B,2,0),"")</f>
        <v/>
      </c>
      <c r="S51" s="38" t="str">
        <f>IF(E51="","",IF(IFERROR(VLOOKUP(E51,'Onbase Report'!D:E,2,0),"")&lt;&gt;"","Details in Onbase","No Details"))</f>
        <v/>
      </c>
      <c r="T51" s="38" t="str">
        <f>IF(LEFT('Salesforce Dump'!Q48,5)="BHX10",LEFT('Salesforce Dump'!Q48,5),LEFT('Salesforce Dump'!Q48,4))</f>
        <v/>
      </c>
    </row>
    <row r="52" spans="1:20" s="38" customFormat="1" ht="14.5" x14ac:dyDescent="0.35">
      <c r="A52" s="47" t="str">
        <f>IF('Salesforce Dump'!A49&lt;&gt;"",'Salesforce Dump'!A49,"")</f>
        <v/>
      </c>
      <c r="B52" s="48"/>
      <c r="C52" s="49" t="str">
        <f>IF('Salesforce Dump'!B49&lt;&gt;"",'Salesforce Dump'!B49,"")</f>
        <v/>
      </c>
      <c r="D52" s="48"/>
      <c r="E52" s="50" t="str">
        <f>IF('Salesforce Dump'!C49&lt;&gt;"",'Salesforce Dump'!C49,"")</f>
        <v/>
      </c>
      <c r="F52" s="49" t="str">
        <f>IF('Salesforce Dump'!D49&lt;&gt;"",'Salesforce Dump'!D49,"")</f>
        <v/>
      </c>
      <c r="G52" s="49" t="str">
        <f>IF('Salesforce Dump'!E49&lt;&gt;"",'Salesforce Dump'!E49,"")</f>
        <v/>
      </c>
      <c r="H52" s="49" t="str">
        <f>IF('Salesforce Dump'!G49&lt;&gt;"",'Salesforce Dump'!G49,"")</f>
        <v/>
      </c>
      <c r="I52" s="49" t="str">
        <f>IF('Salesforce Dump'!H49&lt;&gt;"",'Salesforce Dump'!H49,"")</f>
        <v/>
      </c>
      <c r="J52" s="51" t="str">
        <f>IF('Salesforce Dump'!I49&lt;&gt;"",'Salesforce Dump'!I49,"")</f>
        <v/>
      </c>
      <c r="K52" s="51" t="str">
        <f>IF('Salesforce Dump'!J49&lt;&gt;"",'Salesforce Dump'!J49,"")</f>
        <v/>
      </c>
      <c r="L52" s="52" t="str">
        <f>IFERROR(INDEX('OBA Dump'!C:C,MATCH($E52*1,'OBA Dump'!$A:$A,0)),"")</f>
        <v/>
      </c>
      <c r="M52" s="52" t="str">
        <f>IFERROR(INDEX('OBA Dump'!D:D,MATCH($E52*1,'OBA Dump'!$A:$A,0)),"")</f>
        <v/>
      </c>
      <c r="N52" s="52"/>
      <c r="O52" s="52"/>
      <c r="P52" s="53"/>
      <c r="Q52" s="52"/>
      <c r="R52" s="38" t="str">
        <f>_xlfn.IFNA(VLOOKUP(E52,'Pre-Booked Holidays'!A:B,2,0),"")</f>
        <v/>
      </c>
      <c r="S52" s="38" t="str">
        <f>IF(E52="","",IF(IFERROR(VLOOKUP(E52,'Onbase Report'!D:E,2,0),"")&lt;&gt;"","Details in Onbase","No Details"))</f>
        <v/>
      </c>
      <c r="T52" s="38" t="str">
        <f>IF(LEFT('Salesforce Dump'!Q49,5)="BHX10",LEFT('Salesforce Dump'!Q49,5),LEFT('Salesforce Dump'!Q49,4))</f>
        <v/>
      </c>
    </row>
    <row r="53" spans="1:20" s="38" customFormat="1" ht="14.5" x14ac:dyDescent="0.35">
      <c r="A53" s="47" t="str">
        <f>IF('Salesforce Dump'!A50&lt;&gt;"",'Salesforce Dump'!A50,"")</f>
        <v/>
      </c>
      <c r="B53" s="48"/>
      <c r="C53" s="49" t="str">
        <f>IF('Salesforce Dump'!B50&lt;&gt;"",'Salesforce Dump'!B50,"")</f>
        <v/>
      </c>
      <c r="D53" s="48"/>
      <c r="E53" s="50" t="str">
        <f>IF('Salesforce Dump'!C50&lt;&gt;"",'Salesforce Dump'!C50,"")</f>
        <v/>
      </c>
      <c r="F53" s="49" t="str">
        <f>IF('Salesforce Dump'!D50&lt;&gt;"",'Salesforce Dump'!D50,"")</f>
        <v/>
      </c>
      <c r="G53" s="49" t="str">
        <f>IF('Salesforce Dump'!E50&lt;&gt;"",'Salesforce Dump'!E50,"")</f>
        <v/>
      </c>
      <c r="H53" s="49" t="str">
        <f>IF('Salesforce Dump'!G50&lt;&gt;"",'Salesforce Dump'!G50,"")</f>
        <v/>
      </c>
      <c r="I53" s="49" t="str">
        <f>IF('Salesforce Dump'!H50&lt;&gt;"",'Salesforce Dump'!H50,"")</f>
        <v/>
      </c>
      <c r="J53" s="51" t="str">
        <f>IF('Salesforce Dump'!I50&lt;&gt;"",'Salesforce Dump'!I50,"")</f>
        <v/>
      </c>
      <c r="K53" s="51" t="str">
        <f>IF('Salesforce Dump'!J50&lt;&gt;"",'Salesforce Dump'!J50,"")</f>
        <v/>
      </c>
      <c r="L53" s="52" t="str">
        <f>IFERROR(INDEX('OBA Dump'!C:C,MATCH($E53*1,'OBA Dump'!$A:$A,0)),"")</f>
        <v/>
      </c>
      <c r="M53" s="52" t="str">
        <f>IFERROR(INDEX('OBA Dump'!D:D,MATCH($E53*1,'OBA Dump'!$A:$A,0)),"")</f>
        <v/>
      </c>
      <c r="N53" s="52"/>
      <c r="O53" s="52"/>
      <c r="P53" s="53"/>
      <c r="Q53" s="52"/>
      <c r="R53" s="38" t="str">
        <f>_xlfn.IFNA(VLOOKUP(E53,'Pre-Booked Holidays'!A:B,2,0),"")</f>
        <v/>
      </c>
      <c r="S53" s="38" t="str">
        <f>IF(E53="","",IF(IFERROR(VLOOKUP(E53,'Onbase Report'!D:E,2,0),"")&lt;&gt;"","Details in Onbase","No Details"))</f>
        <v/>
      </c>
      <c r="T53" s="38" t="str">
        <f>IF(LEFT('Salesforce Dump'!Q50,5)="BHX10",LEFT('Salesforce Dump'!Q50,5),LEFT('Salesforce Dump'!Q50,4))</f>
        <v/>
      </c>
    </row>
    <row r="54" spans="1:20" s="38" customFormat="1" ht="14.5" x14ac:dyDescent="0.35">
      <c r="A54" s="47" t="str">
        <f>IF('Salesforce Dump'!A51&lt;&gt;"",'Salesforce Dump'!A51,"")</f>
        <v/>
      </c>
      <c r="B54" s="48"/>
      <c r="C54" s="49" t="str">
        <f>IF('Salesforce Dump'!B51&lt;&gt;"",'Salesforce Dump'!B51,"")</f>
        <v/>
      </c>
      <c r="D54" s="48"/>
      <c r="E54" s="50" t="str">
        <f>IF('Salesforce Dump'!C51&lt;&gt;"",'Salesforce Dump'!C51,"")</f>
        <v/>
      </c>
      <c r="F54" s="49" t="str">
        <f>IF('Salesforce Dump'!D51&lt;&gt;"",'Salesforce Dump'!D51,"")</f>
        <v/>
      </c>
      <c r="G54" s="49" t="str">
        <f>IF('Salesforce Dump'!E51&lt;&gt;"",'Salesforce Dump'!E51,"")</f>
        <v/>
      </c>
      <c r="H54" s="49" t="str">
        <f>IF('Salesforce Dump'!G51&lt;&gt;"",'Salesforce Dump'!G51,"")</f>
        <v/>
      </c>
      <c r="I54" s="49" t="str">
        <f>IF('Salesforce Dump'!H51&lt;&gt;"",'Salesforce Dump'!H51,"")</f>
        <v/>
      </c>
      <c r="J54" s="51" t="str">
        <f>IF('Salesforce Dump'!I51&lt;&gt;"",'Salesforce Dump'!I51,"")</f>
        <v/>
      </c>
      <c r="K54" s="51" t="str">
        <f>IF('Salesforce Dump'!J51&lt;&gt;"",'Salesforce Dump'!J51,"")</f>
        <v/>
      </c>
      <c r="L54" s="52" t="str">
        <f>IFERROR(INDEX('OBA Dump'!C:C,MATCH($E54*1,'OBA Dump'!$A:$A,0)),"")</f>
        <v/>
      </c>
      <c r="M54" s="52" t="str">
        <f>IFERROR(INDEX('OBA Dump'!D:D,MATCH($E54*1,'OBA Dump'!$A:$A,0)),"")</f>
        <v/>
      </c>
      <c r="N54" s="52"/>
      <c r="O54" s="52"/>
      <c r="P54" s="53"/>
      <c r="Q54" s="52"/>
      <c r="R54" s="38" t="str">
        <f>_xlfn.IFNA(VLOOKUP(E54,'Pre-Booked Holidays'!A:B,2,0),"")</f>
        <v/>
      </c>
      <c r="S54" s="38" t="str">
        <f>IF(E54="","",IF(IFERROR(VLOOKUP(E54,'Onbase Report'!D:E,2,0),"")&lt;&gt;"","Details in Onbase","No Details"))</f>
        <v/>
      </c>
      <c r="T54" s="38" t="str">
        <f>IF(LEFT('Salesforce Dump'!Q51,5)="BHX10",LEFT('Salesforce Dump'!Q51,5),LEFT('Salesforce Dump'!Q51,4))</f>
        <v/>
      </c>
    </row>
    <row r="55" spans="1:20" s="38" customFormat="1" ht="14.5" x14ac:dyDescent="0.35">
      <c r="A55" s="47" t="str">
        <f>IF('Salesforce Dump'!A52&lt;&gt;"",'Salesforce Dump'!A52,"")</f>
        <v/>
      </c>
      <c r="B55" s="48"/>
      <c r="C55" s="49" t="str">
        <f>IF('Salesforce Dump'!B52&lt;&gt;"",'Salesforce Dump'!B52,"")</f>
        <v/>
      </c>
      <c r="D55" s="48"/>
      <c r="E55" s="50" t="str">
        <f>IF('Salesforce Dump'!C52&lt;&gt;"",'Salesforce Dump'!C52,"")</f>
        <v/>
      </c>
      <c r="F55" s="49" t="str">
        <f>IF('Salesforce Dump'!D52&lt;&gt;"",'Salesforce Dump'!D52,"")</f>
        <v/>
      </c>
      <c r="G55" s="49" t="str">
        <f>IF('Salesforce Dump'!E52&lt;&gt;"",'Salesforce Dump'!E52,"")</f>
        <v/>
      </c>
      <c r="H55" s="49" t="str">
        <f>IF('Salesforce Dump'!G52&lt;&gt;"",'Salesforce Dump'!G52,"")</f>
        <v/>
      </c>
      <c r="I55" s="49" t="str">
        <f>IF('Salesforce Dump'!H52&lt;&gt;"",'Salesforce Dump'!H52,"")</f>
        <v/>
      </c>
      <c r="J55" s="51" t="str">
        <f>IF('Salesforce Dump'!I52&lt;&gt;"",'Salesforce Dump'!I52,"")</f>
        <v/>
      </c>
      <c r="K55" s="51" t="str">
        <f>IF('Salesforce Dump'!J52&lt;&gt;"",'Salesforce Dump'!J52,"")</f>
        <v/>
      </c>
      <c r="L55" s="52" t="str">
        <f>IFERROR(INDEX('OBA Dump'!C:C,MATCH($E55*1,'OBA Dump'!$A:$A,0)),"")</f>
        <v/>
      </c>
      <c r="M55" s="52" t="str">
        <f>IFERROR(INDEX('OBA Dump'!D:D,MATCH($E55*1,'OBA Dump'!$A:$A,0)),"")</f>
        <v/>
      </c>
      <c r="N55" s="52"/>
      <c r="O55" s="52"/>
      <c r="P55" s="53"/>
      <c r="Q55" s="52"/>
      <c r="R55" s="38" t="str">
        <f>_xlfn.IFNA(VLOOKUP(E55,'Pre-Booked Holidays'!A:B,2,0),"")</f>
        <v/>
      </c>
      <c r="S55" s="38" t="str">
        <f>IF(E55="","",IF(IFERROR(VLOOKUP(E55,'Onbase Report'!D:E,2,0),"")&lt;&gt;"","Details in Onbase","No Details"))</f>
        <v/>
      </c>
      <c r="T55" s="38" t="str">
        <f>IF(LEFT('Salesforce Dump'!Q52,5)="BHX10",LEFT('Salesforce Dump'!Q52,5),LEFT('Salesforce Dump'!Q52,4))</f>
        <v/>
      </c>
    </row>
    <row r="56" spans="1:20" s="38" customFormat="1" ht="14.5" x14ac:dyDescent="0.35">
      <c r="A56" s="47" t="str">
        <f>IF('Salesforce Dump'!A53&lt;&gt;"",'Salesforce Dump'!A53,"")</f>
        <v/>
      </c>
      <c r="B56" s="48"/>
      <c r="C56" s="49" t="str">
        <f>IF('Salesforce Dump'!B53&lt;&gt;"",'Salesforce Dump'!B53,"")</f>
        <v/>
      </c>
      <c r="D56" s="48"/>
      <c r="E56" s="50" t="str">
        <f>IF('Salesforce Dump'!C53&lt;&gt;"",'Salesforce Dump'!C53,"")</f>
        <v/>
      </c>
      <c r="F56" s="49" t="str">
        <f>IF('Salesforce Dump'!D53&lt;&gt;"",'Salesforce Dump'!D53,"")</f>
        <v/>
      </c>
      <c r="G56" s="49" t="str">
        <f>IF('Salesforce Dump'!E53&lt;&gt;"",'Salesforce Dump'!E53,"")</f>
        <v/>
      </c>
      <c r="H56" s="49" t="str">
        <f>IF('Salesforce Dump'!G53&lt;&gt;"",'Salesforce Dump'!G53,"")</f>
        <v/>
      </c>
      <c r="I56" s="49" t="str">
        <f>IF('Salesforce Dump'!H53&lt;&gt;"",'Salesforce Dump'!H53,"")</f>
        <v/>
      </c>
      <c r="J56" s="51" t="str">
        <f>IF('Salesforce Dump'!I53&lt;&gt;"",'Salesforce Dump'!I53,"")</f>
        <v/>
      </c>
      <c r="K56" s="51" t="str">
        <f>IF('Salesforce Dump'!J53&lt;&gt;"",'Salesforce Dump'!J53,"")</f>
        <v/>
      </c>
      <c r="L56" s="52" t="str">
        <f>IFERROR(INDEX('OBA Dump'!C:C,MATCH($E56*1,'OBA Dump'!$A:$A,0)),"")</f>
        <v/>
      </c>
      <c r="M56" s="52" t="str">
        <f>IFERROR(INDEX('OBA Dump'!D:D,MATCH($E56*1,'OBA Dump'!$A:$A,0)),"")</f>
        <v/>
      </c>
      <c r="N56" s="52"/>
      <c r="O56" s="52"/>
      <c r="P56" s="53"/>
      <c r="Q56" s="52"/>
      <c r="R56" s="38" t="str">
        <f>_xlfn.IFNA(VLOOKUP(E56,'Pre-Booked Holidays'!A:B,2,0),"")</f>
        <v/>
      </c>
      <c r="S56" s="38" t="str">
        <f>IF(E56="","",IF(IFERROR(VLOOKUP(E56,'Onbase Report'!D:E,2,0),"")&lt;&gt;"","Details in Onbase","No Details"))</f>
        <v/>
      </c>
      <c r="T56" s="38" t="str">
        <f>IF(LEFT('Salesforce Dump'!Q53,5)="BHX10",LEFT('Salesforce Dump'!Q53,5),LEFT('Salesforce Dump'!Q53,4))</f>
        <v/>
      </c>
    </row>
    <row r="57" spans="1:20" s="38" customFormat="1" ht="14.5" x14ac:dyDescent="0.35">
      <c r="A57" s="47" t="str">
        <f>IF('Salesforce Dump'!A54&lt;&gt;"",'Salesforce Dump'!A54,"")</f>
        <v/>
      </c>
      <c r="B57" s="48"/>
      <c r="C57" s="49" t="str">
        <f>IF('Salesforce Dump'!B54&lt;&gt;"",'Salesforce Dump'!B54,"")</f>
        <v/>
      </c>
      <c r="D57" s="48"/>
      <c r="E57" s="50" t="str">
        <f>IF('Salesforce Dump'!C54&lt;&gt;"",'Salesforce Dump'!C54,"")</f>
        <v/>
      </c>
      <c r="F57" s="49" t="str">
        <f>IF('Salesforce Dump'!D54&lt;&gt;"",'Salesforce Dump'!D54,"")</f>
        <v/>
      </c>
      <c r="G57" s="49" t="str">
        <f>IF('Salesforce Dump'!E54&lt;&gt;"",'Salesforce Dump'!E54,"")</f>
        <v/>
      </c>
      <c r="H57" s="49" t="str">
        <f>IF('Salesforce Dump'!G54&lt;&gt;"",'Salesforce Dump'!G54,"")</f>
        <v/>
      </c>
      <c r="I57" s="49" t="str">
        <f>IF('Salesforce Dump'!H54&lt;&gt;"",'Salesforce Dump'!H54,"")</f>
        <v/>
      </c>
      <c r="J57" s="51" t="str">
        <f>IF('Salesforce Dump'!I54&lt;&gt;"",'Salesforce Dump'!I54,"")</f>
        <v/>
      </c>
      <c r="K57" s="51" t="str">
        <f>IF('Salesforce Dump'!J54&lt;&gt;"",'Salesforce Dump'!J54,"")</f>
        <v/>
      </c>
      <c r="L57" s="52" t="str">
        <f>IFERROR(INDEX('OBA Dump'!C:C,MATCH($E57*1,'OBA Dump'!$A:$A,0)),"")</f>
        <v/>
      </c>
      <c r="M57" s="52" t="str">
        <f>IFERROR(INDEX('OBA Dump'!D:D,MATCH($E57*1,'OBA Dump'!$A:$A,0)),"")</f>
        <v/>
      </c>
      <c r="N57" s="52"/>
      <c r="O57" s="52"/>
      <c r="P57" s="53"/>
      <c r="Q57" s="52"/>
      <c r="R57" s="38" t="str">
        <f>_xlfn.IFNA(VLOOKUP(E57,'Pre-Booked Holidays'!A:B,2,0),"")</f>
        <v/>
      </c>
      <c r="S57" s="38" t="str">
        <f>IF(E57="","",IF(IFERROR(VLOOKUP(E57,'Onbase Report'!D:E,2,0),"")&lt;&gt;"","Details in Onbase","No Details"))</f>
        <v/>
      </c>
      <c r="T57" s="38" t="str">
        <f>IF(LEFT('Salesforce Dump'!Q54,5)="BHX10",LEFT('Salesforce Dump'!Q54,5),LEFT('Salesforce Dump'!Q54,4))</f>
        <v/>
      </c>
    </row>
    <row r="58" spans="1:20" s="38" customFormat="1" ht="14.5" x14ac:dyDescent="0.35">
      <c r="A58" s="47" t="str">
        <f>IF('Salesforce Dump'!A55&lt;&gt;"",'Salesforce Dump'!A55,"")</f>
        <v/>
      </c>
      <c r="B58" s="48"/>
      <c r="C58" s="49" t="str">
        <f>IF('Salesforce Dump'!B55&lt;&gt;"",'Salesforce Dump'!B55,"")</f>
        <v/>
      </c>
      <c r="D58" s="48"/>
      <c r="E58" s="50" t="str">
        <f>IF('Salesforce Dump'!C55&lt;&gt;"",'Salesforce Dump'!C55,"")</f>
        <v/>
      </c>
      <c r="F58" s="49" t="str">
        <f>IF('Salesforce Dump'!D55&lt;&gt;"",'Salesforce Dump'!D55,"")</f>
        <v/>
      </c>
      <c r="G58" s="49" t="str">
        <f>IF('Salesforce Dump'!E55&lt;&gt;"",'Salesforce Dump'!E55,"")</f>
        <v/>
      </c>
      <c r="H58" s="49" t="str">
        <f>IF('Salesforce Dump'!G55&lt;&gt;"",'Salesforce Dump'!G55,"")</f>
        <v/>
      </c>
      <c r="I58" s="49" t="str">
        <f>IF('Salesforce Dump'!H55&lt;&gt;"",'Salesforce Dump'!H55,"")</f>
        <v/>
      </c>
      <c r="J58" s="51" t="str">
        <f>IF('Salesforce Dump'!I55&lt;&gt;"",'Salesforce Dump'!I55,"")</f>
        <v/>
      </c>
      <c r="K58" s="51" t="str">
        <f>IF('Salesforce Dump'!J55&lt;&gt;"",'Salesforce Dump'!J55,"")</f>
        <v/>
      </c>
      <c r="L58" s="52" t="str">
        <f>IFERROR(INDEX('OBA Dump'!C:C,MATCH($E58*1,'OBA Dump'!$A:$A,0)),"")</f>
        <v/>
      </c>
      <c r="M58" s="52" t="str">
        <f>IFERROR(INDEX('OBA Dump'!D:D,MATCH($E58*1,'OBA Dump'!$A:$A,0)),"")</f>
        <v/>
      </c>
      <c r="N58" s="52"/>
      <c r="O58" s="52"/>
      <c r="P58" s="53"/>
      <c r="Q58" s="52"/>
      <c r="R58" s="38" t="str">
        <f>_xlfn.IFNA(VLOOKUP(E58,'Pre-Booked Holidays'!A:B,2,0),"")</f>
        <v/>
      </c>
      <c r="S58" s="38" t="str">
        <f>IF(E58="","",IF(IFERROR(VLOOKUP(E58,'Onbase Report'!D:E,2,0),"")&lt;&gt;"","Details in Onbase","No Details"))</f>
        <v/>
      </c>
      <c r="T58" s="38" t="str">
        <f>IF(LEFT('Salesforce Dump'!Q55,5)="BHX10",LEFT('Salesforce Dump'!Q55,5),LEFT('Salesforce Dump'!Q55,4))</f>
        <v/>
      </c>
    </row>
    <row r="59" spans="1:20" s="38" customFormat="1" ht="14.5" x14ac:dyDescent="0.35">
      <c r="A59" s="47" t="str">
        <f>IF('Salesforce Dump'!A56&lt;&gt;"",'Salesforce Dump'!A56,"")</f>
        <v/>
      </c>
      <c r="B59" s="48"/>
      <c r="C59" s="49" t="str">
        <f>IF('Salesforce Dump'!B56&lt;&gt;"",'Salesforce Dump'!B56,"")</f>
        <v/>
      </c>
      <c r="D59" s="48"/>
      <c r="E59" s="50" t="str">
        <f>IF('Salesforce Dump'!C56&lt;&gt;"",'Salesforce Dump'!C56,"")</f>
        <v/>
      </c>
      <c r="F59" s="49" t="str">
        <f>IF('Salesforce Dump'!D56&lt;&gt;"",'Salesforce Dump'!D56,"")</f>
        <v/>
      </c>
      <c r="G59" s="49" t="str">
        <f>IF('Salesforce Dump'!E56&lt;&gt;"",'Salesforce Dump'!E56,"")</f>
        <v/>
      </c>
      <c r="H59" s="49" t="str">
        <f>IF('Salesforce Dump'!G56&lt;&gt;"",'Salesforce Dump'!G56,"")</f>
        <v/>
      </c>
      <c r="I59" s="49" t="str">
        <f>IF('Salesforce Dump'!H56&lt;&gt;"",'Salesforce Dump'!H56,"")</f>
        <v/>
      </c>
      <c r="J59" s="51" t="str">
        <f>IF('Salesforce Dump'!I56&lt;&gt;"",'Salesforce Dump'!I56,"")</f>
        <v/>
      </c>
      <c r="K59" s="51" t="str">
        <f>IF('Salesforce Dump'!J56&lt;&gt;"",'Salesforce Dump'!J56,"")</f>
        <v/>
      </c>
      <c r="L59" s="52" t="str">
        <f>IFERROR(INDEX('OBA Dump'!C:C,MATCH($E59*1,'OBA Dump'!$A:$A,0)),"")</f>
        <v/>
      </c>
      <c r="M59" s="52" t="str">
        <f>IFERROR(INDEX('OBA Dump'!D:D,MATCH($E59*1,'OBA Dump'!$A:$A,0)),"")</f>
        <v/>
      </c>
      <c r="N59" s="52"/>
      <c r="O59" s="52"/>
      <c r="P59" s="53"/>
      <c r="Q59" s="52"/>
      <c r="R59" s="38" t="str">
        <f>_xlfn.IFNA(VLOOKUP(E59,'Pre-Booked Holidays'!A:B,2,0),"")</f>
        <v/>
      </c>
      <c r="S59" s="38" t="str">
        <f>IF(E59="","",IF(IFERROR(VLOOKUP(E59,'Onbase Report'!D:E,2,0),"")&lt;&gt;"","Details in Onbase","No Details"))</f>
        <v/>
      </c>
      <c r="T59" s="38" t="str">
        <f>IF(LEFT('Salesforce Dump'!Q56,5)="BHX10",LEFT('Salesforce Dump'!Q56,5),LEFT('Salesforce Dump'!Q56,4))</f>
        <v/>
      </c>
    </row>
    <row r="60" spans="1:20" s="38" customFormat="1" ht="14.5" x14ac:dyDescent="0.35">
      <c r="A60" s="47" t="str">
        <f>IF('Salesforce Dump'!A57&lt;&gt;"",'Salesforce Dump'!A57,"")</f>
        <v/>
      </c>
      <c r="B60" s="48"/>
      <c r="C60" s="49" t="str">
        <f>IF('Salesforce Dump'!B57&lt;&gt;"",'Salesforce Dump'!B57,"")</f>
        <v/>
      </c>
      <c r="D60" s="48"/>
      <c r="E60" s="50" t="str">
        <f>IF('Salesforce Dump'!C57&lt;&gt;"",'Salesforce Dump'!C57,"")</f>
        <v/>
      </c>
      <c r="F60" s="49" t="str">
        <f>IF('Salesforce Dump'!D57&lt;&gt;"",'Salesforce Dump'!D57,"")</f>
        <v/>
      </c>
      <c r="G60" s="49" t="str">
        <f>IF('Salesforce Dump'!E57&lt;&gt;"",'Salesforce Dump'!E57,"")</f>
        <v/>
      </c>
      <c r="H60" s="49" t="str">
        <f>IF('Salesforce Dump'!G57&lt;&gt;"",'Salesforce Dump'!G57,"")</f>
        <v/>
      </c>
      <c r="I60" s="49" t="str">
        <f>IF('Salesforce Dump'!H57&lt;&gt;"",'Salesforce Dump'!H57,"")</f>
        <v/>
      </c>
      <c r="J60" s="51" t="str">
        <f>IF('Salesforce Dump'!I57&lt;&gt;"",'Salesforce Dump'!I57,"")</f>
        <v/>
      </c>
      <c r="K60" s="51" t="str">
        <f>IF('Salesforce Dump'!J57&lt;&gt;"",'Salesforce Dump'!J57,"")</f>
        <v/>
      </c>
      <c r="L60" s="52" t="str">
        <f>IFERROR(INDEX('OBA Dump'!C:C,MATCH($E60*1,'OBA Dump'!$A:$A,0)),"")</f>
        <v/>
      </c>
      <c r="M60" s="52" t="str">
        <f>IFERROR(INDEX('OBA Dump'!D:D,MATCH($E60*1,'OBA Dump'!$A:$A,0)),"")</f>
        <v/>
      </c>
      <c r="N60" s="52"/>
      <c r="O60" s="52"/>
      <c r="P60" s="53"/>
      <c r="Q60" s="52"/>
      <c r="R60" s="38" t="str">
        <f>_xlfn.IFNA(VLOOKUP(E60,'Pre-Booked Holidays'!A:B,2,0),"")</f>
        <v/>
      </c>
      <c r="S60" s="38" t="str">
        <f>IF(E60="","",IF(IFERROR(VLOOKUP(E60,'Onbase Report'!D:E,2,0),"")&lt;&gt;"","Details in Onbase","No Details"))</f>
        <v/>
      </c>
      <c r="T60" s="38" t="str">
        <f>IF(LEFT('Salesforce Dump'!Q57,5)="BHX10",LEFT('Salesforce Dump'!Q57,5),LEFT('Salesforce Dump'!Q57,4))</f>
        <v/>
      </c>
    </row>
    <row r="61" spans="1:20" s="38" customFormat="1" ht="14.5" x14ac:dyDescent="0.35">
      <c r="A61" s="47" t="str">
        <f>IF('Salesforce Dump'!A58&lt;&gt;"",'Salesforce Dump'!A58,"")</f>
        <v/>
      </c>
      <c r="B61" s="48"/>
      <c r="C61" s="49" t="str">
        <f>IF('Salesforce Dump'!B58&lt;&gt;"",'Salesforce Dump'!B58,"")</f>
        <v/>
      </c>
      <c r="D61" s="48"/>
      <c r="E61" s="50" t="str">
        <f>IF('Salesforce Dump'!C58&lt;&gt;"",'Salesforce Dump'!C58,"")</f>
        <v/>
      </c>
      <c r="F61" s="49" t="str">
        <f>IF('Salesforce Dump'!D58&lt;&gt;"",'Salesforce Dump'!D58,"")</f>
        <v/>
      </c>
      <c r="G61" s="49" t="str">
        <f>IF('Salesforce Dump'!E58&lt;&gt;"",'Salesforce Dump'!E58,"")</f>
        <v/>
      </c>
      <c r="H61" s="49" t="str">
        <f>IF('Salesforce Dump'!G58&lt;&gt;"",'Salesforce Dump'!G58,"")</f>
        <v/>
      </c>
      <c r="I61" s="49" t="str">
        <f>IF('Salesforce Dump'!H58&lt;&gt;"",'Salesforce Dump'!H58,"")</f>
        <v/>
      </c>
      <c r="J61" s="51" t="str">
        <f>IF('Salesforce Dump'!I58&lt;&gt;"",'Salesforce Dump'!I58,"")</f>
        <v/>
      </c>
      <c r="K61" s="51" t="str">
        <f>IF('Salesforce Dump'!J58&lt;&gt;"",'Salesforce Dump'!J58,"")</f>
        <v/>
      </c>
      <c r="L61" s="52" t="str">
        <f>IFERROR(INDEX('OBA Dump'!C:C,MATCH($E61*1,'OBA Dump'!$A:$A,0)),"")</f>
        <v/>
      </c>
      <c r="M61" s="52" t="str">
        <f>IFERROR(INDEX('OBA Dump'!D:D,MATCH($E61*1,'OBA Dump'!$A:$A,0)),"")</f>
        <v/>
      </c>
      <c r="N61" s="52"/>
      <c r="O61" s="52"/>
      <c r="P61" s="53"/>
      <c r="Q61" s="52"/>
      <c r="R61" s="38" t="str">
        <f>_xlfn.IFNA(VLOOKUP(E61,'Pre-Booked Holidays'!A:B,2,0),"")</f>
        <v/>
      </c>
      <c r="S61" s="38" t="str">
        <f>IF(E61="","",IF(IFERROR(VLOOKUP(E61,'Onbase Report'!D:E,2,0),"")&lt;&gt;"","Details in Onbase","No Details"))</f>
        <v/>
      </c>
      <c r="T61" s="38" t="str">
        <f>IF(LEFT('Salesforce Dump'!Q58,5)="BHX10",LEFT('Salesforce Dump'!Q58,5),LEFT('Salesforce Dump'!Q58,4))</f>
        <v/>
      </c>
    </row>
    <row r="62" spans="1:20" s="38" customFormat="1" ht="14.5" x14ac:dyDescent="0.35">
      <c r="A62" s="47" t="str">
        <f>IF('Salesforce Dump'!A59&lt;&gt;"",'Salesforce Dump'!A59,"")</f>
        <v/>
      </c>
      <c r="B62" s="48"/>
      <c r="C62" s="49" t="str">
        <f>IF('Salesforce Dump'!B59&lt;&gt;"",'Salesforce Dump'!B59,"")</f>
        <v/>
      </c>
      <c r="D62" s="48"/>
      <c r="E62" s="50" t="str">
        <f>IF('Salesforce Dump'!C59&lt;&gt;"",'Salesforce Dump'!C59,"")</f>
        <v/>
      </c>
      <c r="F62" s="49" t="str">
        <f>IF('Salesforce Dump'!D59&lt;&gt;"",'Salesforce Dump'!D59,"")</f>
        <v/>
      </c>
      <c r="G62" s="49" t="str">
        <f>IF('Salesforce Dump'!E59&lt;&gt;"",'Salesforce Dump'!E59,"")</f>
        <v/>
      </c>
      <c r="H62" s="49" t="str">
        <f>IF('Salesforce Dump'!G59&lt;&gt;"",'Salesforce Dump'!G59,"")</f>
        <v/>
      </c>
      <c r="I62" s="49" t="str">
        <f>IF('Salesforce Dump'!H59&lt;&gt;"",'Salesforce Dump'!H59,"")</f>
        <v/>
      </c>
      <c r="J62" s="51" t="str">
        <f>IF('Salesforce Dump'!I59&lt;&gt;"",'Salesforce Dump'!I59,"")</f>
        <v/>
      </c>
      <c r="K62" s="51" t="str">
        <f>IF('Salesforce Dump'!J59&lt;&gt;"",'Salesforce Dump'!J59,"")</f>
        <v/>
      </c>
      <c r="L62" s="52" t="str">
        <f>IFERROR(INDEX('OBA Dump'!C:C,MATCH($E62*1,'OBA Dump'!$A:$A,0)),"")</f>
        <v/>
      </c>
      <c r="M62" s="52" t="str">
        <f>IFERROR(INDEX('OBA Dump'!D:D,MATCH($E62*1,'OBA Dump'!$A:$A,0)),"")</f>
        <v/>
      </c>
      <c r="N62" s="52"/>
      <c r="O62" s="52"/>
      <c r="P62" s="53"/>
      <c r="Q62" s="52"/>
      <c r="R62" s="38" t="str">
        <f>_xlfn.IFNA(VLOOKUP(E62,'Pre-Booked Holidays'!A:B,2,0),"")</f>
        <v/>
      </c>
      <c r="S62" s="38" t="str">
        <f>IF(E62="","",IF(IFERROR(VLOOKUP(E62,'Onbase Report'!D:E,2,0),"")&lt;&gt;"","Details in Onbase","No Details"))</f>
        <v/>
      </c>
      <c r="T62" s="38" t="str">
        <f>IF(LEFT('Salesforce Dump'!Q59,5)="BHX10",LEFT('Salesforce Dump'!Q59,5),LEFT('Salesforce Dump'!Q59,4))</f>
        <v/>
      </c>
    </row>
    <row r="63" spans="1:20" s="38" customFormat="1" ht="14.5" x14ac:dyDescent="0.35">
      <c r="A63" s="47" t="str">
        <f>IF('Salesforce Dump'!A60&lt;&gt;"",'Salesforce Dump'!A60,"")</f>
        <v/>
      </c>
      <c r="B63" s="48"/>
      <c r="C63" s="49" t="str">
        <f>IF('Salesforce Dump'!B60&lt;&gt;"",'Salesforce Dump'!B60,"")</f>
        <v/>
      </c>
      <c r="D63" s="48"/>
      <c r="E63" s="50" t="str">
        <f>IF('Salesforce Dump'!C60&lt;&gt;"",'Salesforce Dump'!C60,"")</f>
        <v/>
      </c>
      <c r="F63" s="49" t="str">
        <f>IF('Salesforce Dump'!D60&lt;&gt;"",'Salesforce Dump'!D60,"")</f>
        <v/>
      </c>
      <c r="G63" s="49" t="str">
        <f>IF('Salesforce Dump'!E60&lt;&gt;"",'Salesforce Dump'!E60,"")</f>
        <v/>
      </c>
      <c r="H63" s="49" t="str">
        <f>IF('Salesforce Dump'!G60&lt;&gt;"",'Salesforce Dump'!G60,"")</f>
        <v/>
      </c>
      <c r="I63" s="49" t="str">
        <f>IF('Salesforce Dump'!H60&lt;&gt;"",'Salesforce Dump'!H60,"")</f>
        <v/>
      </c>
      <c r="J63" s="51" t="str">
        <f>IF('Salesforce Dump'!I60&lt;&gt;"",'Salesforce Dump'!I60,"")</f>
        <v/>
      </c>
      <c r="K63" s="51" t="str">
        <f>IF('Salesforce Dump'!J60&lt;&gt;"",'Salesforce Dump'!J60,"")</f>
        <v/>
      </c>
      <c r="L63" s="52" t="str">
        <f>IFERROR(INDEX('OBA Dump'!C:C,MATCH($E63*1,'OBA Dump'!$A:$A,0)),"")</f>
        <v/>
      </c>
      <c r="M63" s="52" t="str">
        <f>IFERROR(INDEX('OBA Dump'!D:D,MATCH($E63*1,'OBA Dump'!$A:$A,0)),"")</f>
        <v/>
      </c>
      <c r="N63" s="52"/>
      <c r="O63" s="52"/>
      <c r="P63" s="53"/>
      <c r="Q63" s="52"/>
      <c r="R63" s="38" t="str">
        <f>_xlfn.IFNA(VLOOKUP(E63,'Pre-Booked Holidays'!A:B,2,0),"")</f>
        <v/>
      </c>
      <c r="S63" s="38" t="str">
        <f>IF(E63="","",IF(IFERROR(VLOOKUP(E63,'Onbase Report'!D:E,2,0),"")&lt;&gt;"","Details in Onbase","No Details"))</f>
        <v/>
      </c>
      <c r="T63" s="38" t="str">
        <f>IF(LEFT('Salesforce Dump'!Q60,5)="BHX10",LEFT('Salesforce Dump'!Q60,5),LEFT('Salesforce Dump'!Q60,4))</f>
        <v/>
      </c>
    </row>
    <row r="64" spans="1:20" s="38" customFormat="1" ht="14.5" x14ac:dyDescent="0.35">
      <c r="A64" s="47" t="str">
        <f>IF('Salesforce Dump'!A61&lt;&gt;"",'Salesforce Dump'!A61,"")</f>
        <v/>
      </c>
      <c r="B64" s="48"/>
      <c r="C64" s="49" t="str">
        <f>IF('Salesforce Dump'!B61&lt;&gt;"",'Salesforce Dump'!B61,"")</f>
        <v/>
      </c>
      <c r="D64" s="48"/>
      <c r="E64" s="50" t="str">
        <f>IF('Salesforce Dump'!C61&lt;&gt;"",'Salesforce Dump'!C61,"")</f>
        <v/>
      </c>
      <c r="F64" s="49" t="str">
        <f>IF('Salesforce Dump'!D61&lt;&gt;"",'Salesforce Dump'!D61,"")</f>
        <v/>
      </c>
      <c r="G64" s="49" t="str">
        <f>IF('Salesforce Dump'!E61&lt;&gt;"",'Salesforce Dump'!E61,"")</f>
        <v/>
      </c>
      <c r="H64" s="49" t="str">
        <f>IF('Salesforce Dump'!G61&lt;&gt;"",'Salesforce Dump'!G61,"")</f>
        <v/>
      </c>
      <c r="I64" s="49" t="str">
        <f>IF('Salesforce Dump'!H61&lt;&gt;"",'Salesforce Dump'!H61,"")</f>
        <v/>
      </c>
      <c r="J64" s="51" t="str">
        <f>IF('Salesforce Dump'!I61&lt;&gt;"",'Salesforce Dump'!I61,"")</f>
        <v/>
      </c>
      <c r="K64" s="51" t="str">
        <f>IF('Salesforce Dump'!J61&lt;&gt;"",'Salesforce Dump'!J61,"")</f>
        <v/>
      </c>
      <c r="L64" s="52" t="str">
        <f>IFERROR(INDEX('OBA Dump'!C:C,MATCH($E64*1,'OBA Dump'!$A:$A,0)),"")</f>
        <v/>
      </c>
      <c r="M64" s="52" t="str">
        <f>IFERROR(INDEX('OBA Dump'!D:D,MATCH($E64*1,'OBA Dump'!$A:$A,0)),"")</f>
        <v/>
      </c>
      <c r="N64" s="52"/>
      <c r="O64" s="52"/>
      <c r="P64" s="53"/>
      <c r="Q64" s="52"/>
      <c r="R64" s="38" t="str">
        <f>_xlfn.IFNA(VLOOKUP(E64,'Pre-Booked Holidays'!A:B,2,0),"")</f>
        <v/>
      </c>
      <c r="S64" s="38" t="str">
        <f>IF(E64="","",IF(IFERROR(VLOOKUP(E64,'Onbase Report'!D:E,2,0),"")&lt;&gt;"","Details in Onbase","No Details"))</f>
        <v/>
      </c>
      <c r="T64" s="38" t="str">
        <f>IF(LEFT('Salesforce Dump'!Q61,5)="BHX10",LEFT('Salesforce Dump'!Q61,5),LEFT('Salesforce Dump'!Q61,4))</f>
        <v/>
      </c>
    </row>
    <row r="65" spans="1:20" s="38" customFormat="1" ht="14.5" x14ac:dyDescent="0.35">
      <c r="A65" s="47" t="str">
        <f>IF('Salesforce Dump'!A62&lt;&gt;"",'Salesforce Dump'!A62,"")</f>
        <v/>
      </c>
      <c r="B65" s="48"/>
      <c r="C65" s="49" t="str">
        <f>IF('Salesforce Dump'!B62&lt;&gt;"",'Salesforce Dump'!B62,"")</f>
        <v/>
      </c>
      <c r="D65" s="48"/>
      <c r="E65" s="50" t="str">
        <f>IF('Salesforce Dump'!C62&lt;&gt;"",'Salesforce Dump'!C62,"")</f>
        <v/>
      </c>
      <c r="F65" s="49" t="str">
        <f>IF('Salesforce Dump'!D62&lt;&gt;"",'Salesforce Dump'!D62,"")</f>
        <v/>
      </c>
      <c r="G65" s="49" t="str">
        <f>IF('Salesforce Dump'!E62&lt;&gt;"",'Salesforce Dump'!E62,"")</f>
        <v/>
      </c>
      <c r="H65" s="49" t="str">
        <f>IF('Salesforce Dump'!G62&lt;&gt;"",'Salesforce Dump'!G62,"")</f>
        <v/>
      </c>
      <c r="I65" s="49" t="str">
        <f>IF('Salesforce Dump'!H62&lt;&gt;"",'Salesforce Dump'!H62,"")</f>
        <v/>
      </c>
      <c r="J65" s="51" t="str">
        <f>IF('Salesforce Dump'!I62&lt;&gt;"",'Salesforce Dump'!I62,"")</f>
        <v/>
      </c>
      <c r="K65" s="51" t="str">
        <f>IF('Salesforce Dump'!J62&lt;&gt;"",'Salesforce Dump'!J62,"")</f>
        <v/>
      </c>
      <c r="L65" s="52" t="str">
        <f>IFERROR(INDEX('OBA Dump'!C:C,MATCH($E65*1,'OBA Dump'!$A:$A,0)),"")</f>
        <v/>
      </c>
      <c r="M65" s="52" t="str">
        <f>IFERROR(INDEX('OBA Dump'!D:D,MATCH($E65*1,'OBA Dump'!$A:$A,0)),"")</f>
        <v/>
      </c>
      <c r="N65" s="52"/>
      <c r="O65" s="52"/>
      <c r="P65" s="53"/>
      <c r="Q65" s="52"/>
      <c r="R65" s="38" t="str">
        <f>_xlfn.IFNA(VLOOKUP(E65,'Pre-Booked Holidays'!A:B,2,0),"")</f>
        <v/>
      </c>
      <c r="S65" s="38" t="str">
        <f>IF(E65="","",IF(IFERROR(VLOOKUP(E65,'Onbase Report'!D:E,2,0),"")&lt;&gt;"","Details in Onbase","No Details"))</f>
        <v/>
      </c>
      <c r="T65" s="38" t="str">
        <f>IF(LEFT('Salesforce Dump'!Q62,5)="BHX10",LEFT('Salesforce Dump'!Q62,5),LEFT('Salesforce Dump'!Q62,4))</f>
        <v/>
      </c>
    </row>
    <row r="66" spans="1:20" s="38" customFormat="1" ht="14.5" x14ac:dyDescent="0.35">
      <c r="A66" s="47" t="str">
        <f>IF('Salesforce Dump'!A63&lt;&gt;"",'Salesforce Dump'!A63,"")</f>
        <v/>
      </c>
      <c r="B66" s="48"/>
      <c r="C66" s="49" t="str">
        <f>IF('Salesforce Dump'!B63&lt;&gt;"",'Salesforce Dump'!B63,"")</f>
        <v/>
      </c>
      <c r="D66" s="48"/>
      <c r="E66" s="50" t="str">
        <f>IF('Salesforce Dump'!C63&lt;&gt;"",'Salesforce Dump'!C63,"")</f>
        <v/>
      </c>
      <c r="F66" s="49" t="str">
        <f>IF('Salesforce Dump'!D63&lt;&gt;"",'Salesforce Dump'!D63,"")</f>
        <v/>
      </c>
      <c r="G66" s="49" t="str">
        <f>IF('Salesforce Dump'!E63&lt;&gt;"",'Salesforce Dump'!E63,"")</f>
        <v/>
      </c>
      <c r="H66" s="49" t="str">
        <f>IF('Salesforce Dump'!G63&lt;&gt;"",'Salesforce Dump'!G63,"")</f>
        <v/>
      </c>
      <c r="I66" s="49" t="str">
        <f>IF('Salesforce Dump'!H63&lt;&gt;"",'Salesforce Dump'!H63,"")</f>
        <v/>
      </c>
      <c r="J66" s="51" t="str">
        <f>IF('Salesforce Dump'!I63&lt;&gt;"",'Salesforce Dump'!I63,"")</f>
        <v/>
      </c>
      <c r="K66" s="51" t="str">
        <f>IF('Salesforce Dump'!J63&lt;&gt;"",'Salesforce Dump'!J63,"")</f>
        <v/>
      </c>
      <c r="L66" s="52" t="str">
        <f>IFERROR(INDEX('OBA Dump'!C:C,MATCH($E66*1,'OBA Dump'!$A:$A,0)),"")</f>
        <v/>
      </c>
      <c r="M66" s="52" t="str">
        <f>IFERROR(INDEX('OBA Dump'!D:D,MATCH($E66*1,'OBA Dump'!$A:$A,0)),"")</f>
        <v/>
      </c>
      <c r="N66" s="52"/>
      <c r="O66" s="52"/>
      <c r="P66" s="53"/>
      <c r="Q66" s="52"/>
      <c r="R66" s="38" t="str">
        <f>_xlfn.IFNA(VLOOKUP(E66,'Pre-Booked Holidays'!A:B,2,0),"")</f>
        <v/>
      </c>
      <c r="S66" s="38" t="str">
        <f>IF(E66="","",IF(IFERROR(VLOOKUP(E66,'Onbase Report'!D:E,2,0),"")&lt;&gt;"","Details in Onbase","No Details"))</f>
        <v/>
      </c>
      <c r="T66" s="38" t="str">
        <f>IF(LEFT('Salesforce Dump'!Q63,5)="BHX10",LEFT('Salesforce Dump'!Q63,5),LEFT('Salesforce Dump'!Q63,4))</f>
        <v/>
      </c>
    </row>
    <row r="67" spans="1:20" s="38" customFormat="1" ht="14.5" x14ac:dyDescent="0.35">
      <c r="A67" s="47" t="str">
        <f>IF('Salesforce Dump'!A64&lt;&gt;"",'Salesforce Dump'!A64,"")</f>
        <v/>
      </c>
      <c r="B67" s="48"/>
      <c r="C67" s="49" t="str">
        <f>IF('Salesforce Dump'!B64&lt;&gt;"",'Salesforce Dump'!B64,"")</f>
        <v/>
      </c>
      <c r="D67" s="48"/>
      <c r="E67" s="50" t="str">
        <f>IF('Salesforce Dump'!C64&lt;&gt;"",'Salesforce Dump'!C64,"")</f>
        <v/>
      </c>
      <c r="F67" s="49" t="str">
        <f>IF('Salesforce Dump'!D64&lt;&gt;"",'Salesforce Dump'!D64,"")</f>
        <v/>
      </c>
      <c r="G67" s="49" t="str">
        <f>IF('Salesforce Dump'!E64&lt;&gt;"",'Salesforce Dump'!E64,"")</f>
        <v/>
      </c>
      <c r="H67" s="49" t="str">
        <f>IF('Salesforce Dump'!G64&lt;&gt;"",'Salesforce Dump'!G64,"")</f>
        <v/>
      </c>
      <c r="I67" s="49" t="str">
        <f>IF('Salesforce Dump'!H64&lt;&gt;"",'Salesforce Dump'!H64,"")</f>
        <v/>
      </c>
      <c r="J67" s="51" t="str">
        <f>IF('Salesforce Dump'!I64&lt;&gt;"",'Salesforce Dump'!I64,"")</f>
        <v/>
      </c>
      <c r="K67" s="51" t="str">
        <f>IF('Salesforce Dump'!J64&lt;&gt;"",'Salesforce Dump'!J64,"")</f>
        <v/>
      </c>
      <c r="L67" s="52" t="str">
        <f>IFERROR(INDEX('OBA Dump'!C:C,MATCH($E67*1,'OBA Dump'!$A:$A,0)),"")</f>
        <v/>
      </c>
      <c r="M67" s="52" t="str">
        <f>IFERROR(INDEX('OBA Dump'!D:D,MATCH($E67*1,'OBA Dump'!$A:$A,0)),"")</f>
        <v/>
      </c>
      <c r="N67" s="52"/>
      <c r="O67" s="52"/>
      <c r="P67" s="53"/>
      <c r="Q67" s="52"/>
      <c r="R67" s="38" t="str">
        <f>_xlfn.IFNA(VLOOKUP(E67,'Pre-Booked Holidays'!A:B,2,0),"")</f>
        <v/>
      </c>
      <c r="S67" s="38" t="str">
        <f>IF(E67="","",IF(IFERROR(VLOOKUP(E67,'Onbase Report'!D:E,2,0),"")&lt;&gt;"","Details in Onbase","No Details"))</f>
        <v/>
      </c>
      <c r="T67" s="38" t="str">
        <f>IF(LEFT('Salesforce Dump'!Q64,5)="BHX10",LEFT('Salesforce Dump'!Q64,5),LEFT('Salesforce Dump'!Q64,4))</f>
        <v/>
      </c>
    </row>
    <row r="68" spans="1:20" s="38" customFormat="1" ht="14.5" x14ac:dyDescent="0.35">
      <c r="A68" s="47" t="str">
        <f>IF('Salesforce Dump'!A65&lt;&gt;"",'Salesforce Dump'!A65,"")</f>
        <v/>
      </c>
      <c r="B68" s="48"/>
      <c r="C68" s="49" t="str">
        <f>IF('Salesforce Dump'!B65&lt;&gt;"",'Salesforce Dump'!B65,"")</f>
        <v/>
      </c>
      <c r="D68" s="48"/>
      <c r="E68" s="50" t="str">
        <f>IF('Salesforce Dump'!C65&lt;&gt;"",'Salesforce Dump'!C65,"")</f>
        <v/>
      </c>
      <c r="F68" s="49" t="str">
        <f>IF('Salesforce Dump'!D65&lt;&gt;"",'Salesforce Dump'!D65,"")</f>
        <v/>
      </c>
      <c r="G68" s="49" t="str">
        <f>IF('Salesforce Dump'!E65&lt;&gt;"",'Salesforce Dump'!E65,"")</f>
        <v/>
      </c>
      <c r="H68" s="49" t="str">
        <f>IF('Salesforce Dump'!G65&lt;&gt;"",'Salesforce Dump'!G65,"")</f>
        <v/>
      </c>
      <c r="I68" s="49" t="str">
        <f>IF('Salesforce Dump'!H65&lt;&gt;"",'Salesforce Dump'!H65,"")</f>
        <v/>
      </c>
      <c r="J68" s="51" t="str">
        <f>IF('Salesforce Dump'!I65&lt;&gt;"",'Salesforce Dump'!I65,"")</f>
        <v/>
      </c>
      <c r="K68" s="51" t="str">
        <f>IF('Salesforce Dump'!J65&lt;&gt;"",'Salesforce Dump'!J65,"")</f>
        <v/>
      </c>
      <c r="L68" s="52" t="str">
        <f>IFERROR(INDEX('OBA Dump'!C:C,MATCH($E68*1,'OBA Dump'!$A:$A,0)),"")</f>
        <v/>
      </c>
      <c r="M68" s="52" t="str">
        <f>IFERROR(INDEX('OBA Dump'!D:D,MATCH($E68*1,'OBA Dump'!$A:$A,0)),"")</f>
        <v/>
      </c>
      <c r="N68" s="52"/>
      <c r="O68" s="52"/>
      <c r="P68" s="53"/>
      <c r="Q68" s="52"/>
      <c r="R68" s="38" t="str">
        <f>_xlfn.IFNA(VLOOKUP(E68,'Pre-Booked Holidays'!A:B,2,0),"")</f>
        <v/>
      </c>
      <c r="S68" s="38" t="str">
        <f>IF(E68="","",IF(IFERROR(VLOOKUP(E68,'Onbase Report'!D:E,2,0),"")&lt;&gt;"","Details in Onbase","No Details"))</f>
        <v/>
      </c>
      <c r="T68" s="38" t="str">
        <f>IF(LEFT('Salesforce Dump'!Q65,5)="BHX10",LEFT('Salesforce Dump'!Q65,5),LEFT('Salesforce Dump'!Q65,4))</f>
        <v/>
      </c>
    </row>
    <row r="69" spans="1:20" s="38" customFormat="1" ht="14.5" x14ac:dyDescent="0.35">
      <c r="A69" s="47" t="str">
        <f>IF('Salesforce Dump'!A66&lt;&gt;"",'Salesforce Dump'!A66,"")</f>
        <v/>
      </c>
      <c r="B69" s="48"/>
      <c r="C69" s="49" t="str">
        <f>IF('Salesforce Dump'!B66&lt;&gt;"",'Salesforce Dump'!B66,"")</f>
        <v/>
      </c>
      <c r="D69" s="48"/>
      <c r="E69" s="50" t="str">
        <f>IF('Salesforce Dump'!C66&lt;&gt;"",'Salesforce Dump'!C66,"")</f>
        <v/>
      </c>
      <c r="F69" s="49" t="str">
        <f>IF('Salesforce Dump'!D66&lt;&gt;"",'Salesforce Dump'!D66,"")</f>
        <v/>
      </c>
      <c r="G69" s="49" t="str">
        <f>IF('Salesforce Dump'!E66&lt;&gt;"",'Salesforce Dump'!E66,"")</f>
        <v/>
      </c>
      <c r="H69" s="49" t="str">
        <f>IF('Salesforce Dump'!G66&lt;&gt;"",'Salesforce Dump'!G66,"")</f>
        <v/>
      </c>
      <c r="I69" s="49" t="str">
        <f>IF('Salesforce Dump'!H66&lt;&gt;"",'Salesforce Dump'!H66,"")</f>
        <v/>
      </c>
      <c r="J69" s="51" t="str">
        <f>IF('Salesforce Dump'!I66&lt;&gt;"",'Salesforce Dump'!I66,"")</f>
        <v/>
      </c>
      <c r="K69" s="51" t="str">
        <f>IF('Salesforce Dump'!J66&lt;&gt;"",'Salesforce Dump'!J66,"")</f>
        <v/>
      </c>
      <c r="L69" s="52" t="str">
        <f>IFERROR(INDEX('OBA Dump'!C:C,MATCH($E69*1,'OBA Dump'!$A:$A,0)),"")</f>
        <v/>
      </c>
      <c r="M69" s="52" t="str">
        <f>IFERROR(INDEX('OBA Dump'!D:D,MATCH($E69*1,'OBA Dump'!$A:$A,0)),"")</f>
        <v/>
      </c>
      <c r="N69" s="52"/>
      <c r="O69" s="52"/>
      <c r="P69" s="53"/>
      <c r="Q69" s="52"/>
      <c r="R69" s="38" t="str">
        <f>_xlfn.IFNA(VLOOKUP(E69,'Pre-Booked Holidays'!A:B,2,0),"")</f>
        <v/>
      </c>
      <c r="S69" s="38" t="str">
        <f>IF(E69="","",IF(IFERROR(VLOOKUP(E69,'Onbase Report'!D:E,2,0),"")&lt;&gt;"","Details in Onbase","No Details"))</f>
        <v/>
      </c>
      <c r="T69" s="38" t="str">
        <f>IF(LEFT('Salesforce Dump'!Q66,5)="BHX10",LEFT('Salesforce Dump'!Q66,5),LEFT('Salesforce Dump'!Q66,4))</f>
        <v/>
      </c>
    </row>
    <row r="70" spans="1:20" s="38" customFormat="1" ht="14.5" x14ac:dyDescent="0.35">
      <c r="A70" s="47" t="str">
        <f>IF('Salesforce Dump'!A67&lt;&gt;"",'Salesforce Dump'!A67,"")</f>
        <v/>
      </c>
      <c r="B70" s="48"/>
      <c r="C70" s="49" t="str">
        <f>IF('Salesforce Dump'!B67&lt;&gt;"",'Salesforce Dump'!B67,"")</f>
        <v/>
      </c>
      <c r="D70" s="48"/>
      <c r="E70" s="50" t="str">
        <f>IF('Salesforce Dump'!C67&lt;&gt;"",'Salesforce Dump'!C67,"")</f>
        <v/>
      </c>
      <c r="F70" s="49" t="str">
        <f>IF('Salesforce Dump'!D67&lt;&gt;"",'Salesforce Dump'!D67,"")</f>
        <v/>
      </c>
      <c r="G70" s="49" t="str">
        <f>IF('Salesforce Dump'!E67&lt;&gt;"",'Salesforce Dump'!E67,"")</f>
        <v/>
      </c>
      <c r="H70" s="49" t="str">
        <f>IF('Salesforce Dump'!G67&lt;&gt;"",'Salesforce Dump'!G67,"")</f>
        <v/>
      </c>
      <c r="I70" s="49" t="str">
        <f>IF('Salesforce Dump'!H67&lt;&gt;"",'Salesforce Dump'!H67,"")</f>
        <v/>
      </c>
      <c r="J70" s="51" t="str">
        <f>IF('Salesforce Dump'!I67&lt;&gt;"",'Salesforce Dump'!I67,"")</f>
        <v/>
      </c>
      <c r="K70" s="51" t="str">
        <f>IF('Salesforce Dump'!J67&lt;&gt;"",'Salesforce Dump'!J67,"")</f>
        <v/>
      </c>
      <c r="L70" s="52" t="str">
        <f>IFERROR(INDEX('OBA Dump'!C:C,MATCH($E70*1,'OBA Dump'!$A:$A,0)),"")</f>
        <v/>
      </c>
      <c r="M70" s="52" t="str">
        <f>IFERROR(INDEX('OBA Dump'!D:D,MATCH($E70*1,'OBA Dump'!$A:$A,0)),"")</f>
        <v/>
      </c>
      <c r="N70" s="52"/>
      <c r="O70" s="52"/>
      <c r="P70" s="53"/>
      <c r="Q70" s="52"/>
      <c r="R70" s="38" t="str">
        <f>_xlfn.IFNA(VLOOKUP(E70,'Pre-Booked Holidays'!A:B,2,0),"")</f>
        <v/>
      </c>
      <c r="S70" s="38" t="str">
        <f>IF(E70="","",IF(IFERROR(VLOOKUP(E70,'Onbase Report'!D:E,2,0),"")&lt;&gt;"","Details in Onbase","No Details"))</f>
        <v/>
      </c>
      <c r="T70" s="38" t="str">
        <f>IF(LEFT('Salesforce Dump'!Q67,5)="BHX10",LEFT('Salesforce Dump'!Q67,5),LEFT('Salesforce Dump'!Q67,4))</f>
        <v/>
      </c>
    </row>
    <row r="71" spans="1:20" s="38" customFormat="1" ht="14.5" x14ac:dyDescent="0.35">
      <c r="A71" s="47" t="str">
        <f>IF('Salesforce Dump'!A68&lt;&gt;"",'Salesforce Dump'!A68,"")</f>
        <v/>
      </c>
      <c r="B71" s="48"/>
      <c r="C71" s="49" t="str">
        <f>IF('Salesforce Dump'!B68&lt;&gt;"",'Salesforce Dump'!B68,"")</f>
        <v/>
      </c>
      <c r="D71" s="48"/>
      <c r="E71" s="50" t="str">
        <f>IF('Salesforce Dump'!C68&lt;&gt;"",'Salesforce Dump'!C68,"")</f>
        <v/>
      </c>
      <c r="F71" s="49" t="str">
        <f>IF('Salesforce Dump'!D68&lt;&gt;"",'Salesforce Dump'!D68,"")</f>
        <v/>
      </c>
      <c r="G71" s="49" t="str">
        <f>IF('Salesforce Dump'!E68&lt;&gt;"",'Salesforce Dump'!E68,"")</f>
        <v/>
      </c>
      <c r="H71" s="49" t="str">
        <f>IF('Salesforce Dump'!G68&lt;&gt;"",'Salesforce Dump'!G68,"")</f>
        <v/>
      </c>
      <c r="I71" s="49" t="str">
        <f>IF('Salesforce Dump'!H68&lt;&gt;"",'Salesforce Dump'!H68,"")</f>
        <v/>
      </c>
      <c r="J71" s="51" t="str">
        <f>IF('Salesforce Dump'!I68&lt;&gt;"",'Salesforce Dump'!I68,"")</f>
        <v/>
      </c>
      <c r="K71" s="51" t="str">
        <f>IF('Salesforce Dump'!J68&lt;&gt;"",'Salesforce Dump'!J68,"")</f>
        <v/>
      </c>
      <c r="L71" s="52" t="str">
        <f>IFERROR(INDEX('OBA Dump'!C:C,MATCH($E71*1,'OBA Dump'!$A:$A,0)),"")</f>
        <v/>
      </c>
      <c r="M71" s="52" t="str">
        <f>IFERROR(INDEX('OBA Dump'!D:D,MATCH($E71*1,'OBA Dump'!$A:$A,0)),"")</f>
        <v/>
      </c>
      <c r="N71" s="52"/>
      <c r="O71" s="52"/>
      <c r="P71" s="53"/>
      <c r="Q71" s="52"/>
      <c r="R71" s="38" t="str">
        <f>_xlfn.IFNA(VLOOKUP(E71,'Pre-Booked Holidays'!A:B,2,0),"")</f>
        <v/>
      </c>
      <c r="S71" s="38" t="str">
        <f>IF(E71="","",IF(IFERROR(VLOOKUP(E71,'Onbase Report'!D:E,2,0),"")&lt;&gt;"","Details in Onbase","No Details"))</f>
        <v/>
      </c>
      <c r="T71" s="38" t="str">
        <f>IF(LEFT('Salesforce Dump'!Q68,5)="BHX10",LEFT('Salesforce Dump'!Q68,5),LEFT('Salesforce Dump'!Q68,4))</f>
        <v/>
      </c>
    </row>
    <row r="72" spans="1:20" s="38" customFormat="1" ht="14.5" x14ac:dyDescent="0.35">
      <c r="A72" s="47" t="str">
        <f>IF('Salesforce Dump'!A69&lt;&gt;"",'Salesforce Dump'!A69,"")</f>
        <v/>
      </c>
      <c r="B72" s="48"/>
      <c r="C72" s="49" t="str">
        <f>IF('Salesforce Dump'!B69&lt;&gt;"",'Salesforce Dump'!B69,"")</f>
        <v/>
      </c>
      <c r="D72" s="48"/>
      <c r="E72" s="50" t="str">
        <f>IF('Salesforce Dump'!C69&lt;&gt;"",'Salesforce Dump'!C69,"")</f>
        <v/>
      </c>
      <c r="F72" s="49" t="str">
        <f>IF('Salesforce Dump'!D69&lt;&gt;"",'Salesforce Dump'!D69,"")</f>
        <v/>
      </c>
      <c r="G72" s="49" t="str">
        <f>IF('Salesforce Dump'!E69&lt;&gt;"",'Salesforce Dump'!E69,"")</f>
        <v/>
      </c>
      <c r="H72" s="49" t="str">
        <f>IF('Salesforce Dump'!G69&lt;&gt;"",'Salesforce Dump'!G69,"")</f>
        <v/>
      </c>
      <c r="I72" s="49" t="str">
        <f>IF('Salesforce Dump'!H69&lt;&gt;"",'Salesforce Dump'!H69,"")</f>
        <v/>
      </c>
      <c r="J72" s="51" t="str">
        <f>IF('Salesforce Dump'!I69&lt;&gt;"",'Salesforce Dump'!I69,"")</f>
        <v/>
      </c>
      <c r="K72" s="51" t="str">
        <f>IF('Salesforce Dump'!J69&lt;&gt;"",'Salesforce Dump'!J69,"")</f>
        <v/>
      </c>
      <c r="L72" s="52" t="str">
        <f>IFERROR(INDEX('OBA Dump'!C:C,MATCH($E72*1,'OBA Dump'!$A:$A,0)),"")</f>
        <v/>
      </c>
      <c r="M72" s="52" t="str">
        <f>IFERROR(INDEX('OBA Dump'!D:D,MATCH($E72*1,'OBA Dump'!$A:$A,0)),"")</f>
        <v/>
      </c>
      <c r="N72" s="52"/>
      <c r="O72" s="52"/>
      <c r="P72" s="53"/>
      <c r="Q72" s="52"/>
      <c r="R72" s="38" t="str">
        <f>_xlfn.IFNA(VLOOKUP(E72,'Pre-Booked Holidays'!A:B,2,0),"")</f>
        <v/>
      </c>
      <c r="S72" s="38" t="str">
        <f>IF(E72="","",IF(IFERROR(VLOOKUP(E72,'Onbase Report'!D:E,2,0),"")&lt;&gt;"","Details in Onbase","No Details"))</f>
        <v/>
      </c>
      <c r="T72" s="38" t="str">
        <f>IF(LEFT('Salesforce Dump'!Q69,5)="BHX10",LEFT('Salesforce Dump'!Q69,5),LEFT('Salesforce Dump'!Q69,4))</f>
        <v/>
      </c>
    </row>
    <row r="73" spans="1:20" s="38" customFormat="1" ht="14.5" x14ac:dyDescent="0.35">
      <c r="A73" s="47" t="str">
        <f>IF('Salesforce Dump'!A70&lt;&gt;"",'Salesforce Dump'!A70,"")</f>
        <v/>
      </c>
      <c r="B73" s="48"/>
      <c r="C73" s="49" t="str">
        <f>IF('Salesforce Dump'!B70&lt;&gt;"",'Salesforce Dump'!B70,"")</f>
        <v/>
      </c>
      <c r="D73" s="48"/>
      <c r="E73" s="50" t="str">
        <f>IF('Salesforce Dump'!C70&lt;&gt;"",'Salesforce Dump'!C70,"")</f>
        <v/>
      </c>
      <c r="F73" s="49" t="str">
        <f>IF('Salesforce Dump'!D70&lt;&gt;"",'Salesforce Dump'!D70,"")</f>
        <v/>
      </c>
      <c r="G73" s="49" t="str">
        <f>IF('Salesforce Dump'!E70&lt;&gt;"",'Salesforce Dump'!E70,"")</f>
        <v/>
      </c>
      <c r="H73" s="49" t="str">
        <f>IF('Salesforce Dump'!G70&lt;&gt;"",'Salesforce Dump'!G70,"")</f>
        <v/>
      </c>
      <c r="I73" s="49" t="str">
        <f>IF('Salesforce Dump'!H70&lt;&gt;"",'Salesforce Dump'!H70,"")</f>
        <v/>
      </c>
      <c r="J73" s="51" t="str">
        <f>IF('Salesforce Dump'!I70&lt;&gt;"",'Salesforce Dump'!I70,"")</f>
        <v/>
      </c>
      <c r="K73" s="51" t="str">
        <f>IF('Salesforce Dump'!J70&lt;&gt;"",'Salesforce Dump'!J70,"")</f>
        <v/>
      </c>
      <c r="L73" s="52" t="str">
        <f>IFERROR(INDEX('OBA Dump'!C:C,MATCH($E73*1,'OBA Dump'!$A:$A,0)),"")</f>
        <v/>
      </c>
      <c r="M73" s="52" t="str">
        <f>IFERROR(INDEX('OBA Dump'!D:D,MATCH($E73*1,'OBA Dump'!$A:$A,0)),"")</f>
        <v/>
      </c>
      <c r="N73" s="52"/>
      <c r="O73" s="52"/>
      <c r="P73" s="53"/>
      <c r="Q73" s="52"/>
      <c r="R73" s="38" t="str">
        <f>_xlfn.IFNA(VLOOKUP(E73,'Pre-Booked Holidays'!A:B,2,0),"")</f>
        <v/>
      </c>
      <c r="S73" s="38" t="str">
        <f>IF(E73="","",IF(IFERROR(VLOOKUP(E73,'Onbase Report'!D:E,2,0),"")&lt;&gt;"","Details in Onbase","No Details"))</f>
        <v/>
      </c>
      <c r="T73" s="38" t="str">
        <f>IF(LEFT('Salesforce Dump'!Q70,5)="BHX10",LEFT('Salesforce Dump'!Q70,5),LEFT('Salesforce Dump'!Q70,4))</f>
        <v/>
      </c>
    </row>
    <row r="74" spans="1:20" s="38" customFormat="1" ht="14.5" x14ac:dyDescent="0.35">
      <c r="A74" s="47" t="str">
        <f>IF('Salesforce Dump'!A71&lt;&gt;"",'Salesforce Dump'!A71,"")</f>
        <v/>
      </c>
      <c r="B74" s="48"/>
      <c r="C74" s="49" t="str">
        <f>IF('Salesforce Dump'!B71&lt;&gt;"",'Salesforce Dump'!B71,"")</f>
        <v/>
      </c>
      <c r="D74" s="48"/>
      <c r="E74" s="50" t="str">
        <f>IF('Salesforce Dump'!C71&lt;&gt;"",'Salesforce Dump'!C71,"")</f>
        <v/>
      </c>
      <c r="F74" s="49" t="str">
        <f>IF('Salesforce Dump'!D71&lt;&gt;"",'Salesforce Dump'!D71,"")</f>
        <v/>
      </c>
      <c r="G74" s="49" t="str">
        <f>IF('Salesforce Dump'!E71&lt;&gt;"",'Salesforce Dump'!E71,"")</f>
        <v/>
      </c>
      <c r="H74" s="49" t="str">
        <f>IF('Salesforce Dump'!G71&lt;&gt;"",'Salesforce Dump'!G71,"")</f>
        <v/>
      </c>
      <c r="I74" s="49" t="str">
        <f>IF('Salesforce Dump'!H71&lt;&gt;"",'Salesforce Dump'!H71,"")</f>
        <v/>
      </c>
      <c r="J74" s="51" t="str">
        <f>IF('Salesforce Dump'!I71&lt;&gt;"",'Salesforce Dump'!I71,"")</f>
        <v/>
      </c>
      <c r="K74" s="51" t="str">
        <f>IF('Salesforce Dump'!J71&lt;&gt;"",'Salesforce Dump'!J71,"")</f>
        <v/>
      </c>
      <c r="L74" s="52" t="str">
        <f>IFERROR(INDEX('OBA Dump'!C:C,MATCH($E74*1,'OBA Dump'!$A:$A,0)),"")</f>
        <v/>
      </c>
      <c r="M74" s="52" t="str">
        <f>IFERROR(INDEX('OBA Dump'!D:D,MATCH($E74*1,'OBA Dump'!$A:$A,0)),"")</f>
        <v/>
      </c>
      <c r="N74" s="52"/>
      <c r="O74" s="52"/>
      <c r="P74" s="53"/>
      <c r="Q74" s="52"/>
      <c r="R74" s="38" t="str">
        <f>_xlfn.IFNA(VLOOKUP(E74,'Pre-Booked Holidays'!A:B,2,0),"")</f>
        <v/>
      </c>
      <c r="S74" s="38" t="str">
        <f>IF(E74="","",IF(IFERROR(VLOOKUP(E74,'Onbase Report'!D:E,2,0),"")&lt;&gt;"","Details in Onbase","No Details"))</f>
        <v/>
      </c>
      <c r="T74" s="38" t="str">
        <f>IF(LEFT('Salesforce Dump'!Q71,5)="BHX10",LEFT('Salesforce Dump'!Q71,5),LEFT('Salesforce Dump'!Q71,4))</f>
        <v/>
      </c>
    </row>
    <row r="75" spans="1:20" s="38" customFormat="1" ht="14.5" x14ac:dyDescent="0.35">
      <c r="A75" s="47" t="str">
        <f>IF('Salesforce Dump'!A72&lt;&gt;"",'Salesforce Dump'!A72,"")</f>
        <v/>
      </c>
      <c r="B75" s="48"/>
      <c r="C75" s="49" t="str">
        <f>IF('Salesforce Dump'!B72&lt;&gt;"",'Salesforce Dump'!B72,"")</f>
        <v/>
      </c>
      <c r="D75" s="48"/>
      <c r="E75" s="50" t="str">
        <f>IF('Salesforce Dump'!C72&lt;&gt;"",'Salesforce Dump'!C72,"")</f>
        <v/>
      </c>
      <c r="F75" s="49" t="str">
        <f>IF('Salesforce Dump'!D72&lt;&gt;"",'Salesforce Dump'!D72,"")</f>
        <v/>
      </c>
      <c r="G75" s="49" t="str">
        <f>IF('Salesforce Dump'!E72&lt;&gt;"",'Salesforce Dump'!E72,"")</f>
        <v/>
      </c>
      <c r="H75" s="49" t="str">
        <f>IF('Salesforce Dump'!G72&lt;&gt;"",'Salesforce Dump'!G72,"")</f>
        <v/>
      </c>
      <c r="I75" s="49" t="str">
        <f>IF('Salesforce Dump'!H72&lt;&gt;"",'Salesforce Dump'!H72,"")</f>
        <v/>
      </c>
      <c r="J75" s="51" t="str">
        <f>IF('Salesforce Dump'!I72&lt;&gt;"",'Salesforce Dump'!I72,"")</f>
        <v/>
      </c>
      <c r="K75" s="51" t="str">
        <f>IF('Salesforce Dump'!J72&lt;&gt;"",'Salesforce Dump'!J72,"")</f>
        <v/>
      </c>
      <c r="L75" s="52" t="str">
        <f>IFERROR(INDEX('OBA Dump'!C:C,MATCH($E75*1,'OBA Dump'!$A:$A,0)),"")</f>
        <v/>
      </c>
      <c r="M75" s="52" t="str">
        <f>IFERROR(INDEX('OBA Dump'!D:D,MATCH($E75*1,'OBA Dump'!$A:$A,0)),"")</f>
        <v/>
      </c>
      <c r="N75" s="52"/>
      <c r="O75" s="52"/>
      <c r="P75" s="53"/>
      <c r="Q75" s="52"/>
      <c r="R75" s="38" t="str">
        <f>_xlfn.IFNA(VLOOKUP(E75,'Pre-Booked Holidays'!A:B,2,0),"")</f>
        <v/>
      </c>
      <c r="S75" s="38" t="str">
        <f>IF(E75="","",IF(IFERROR(VLOOKUP(E75,'Onbase Report'!D:E,2,0),"")&lt;&gt;"","Details in Onbase","No Details"))</f>
        <v/>
      </c>
      <c r="T75" s="38" t="str">
        <f>IF(LEFT('Salesforce Dump'!Q72,5)="BHX10",LEFT('Salesforce Dump'!Q72,5),LEFT('Salesforce Dump'!Q72,4))</f>
        <v/>
      </c>
    </row>
    <row r="76" spans="1:20" s="38" customFormat="1" ht="14.5" x14ac:dyDescent="0.35">
      <c r="A76" s="47" t="str">
        <f>IF('Salesforce Dump'!A73&lt;&gt;"",'Salesforce Dump'!A73,"")</f>
        <v/>
      </c>
      <c r="B76" s="48"/>
      <c r="C76" s="49" t="str">
        <f>IF('Salesforce Dump'!B73&lt;&gt;"",'Salesforce Dump'!B73,"")</f>
        <v/>
      </c>
      <c r="D76" s="48"/>
      <c r="E76" s="50" t="str">
        <f>IF('Salesforce Dump'!C73&lt;&gt;"",'Salesforce Dump'!C73,"")</f>
        <v/>
      </c>
      <c r="F76" s="49" t="str">
        <f>IF('Salesforce Dump'!D73&lt;&gt;"",'Salesforce Dump'!D73,"")</f>
        <v/>
      </c>
      <c r="G76" s="49" t="str">
        <f>IF('Salesforce Dump'!E73&lt;&gt;"",'Salesforce Dump'!E73,"")</f>
        <v/>
      </c>
      <c r="H76" s="49" t="str">
        <f>IF('Salesforce Dump'!G73&lt;&gt;"",'Salesforce Dump'!G73,"")</f>
        <v/>
      </c>
      <c r="I76" s="49" t="str">
        <f>IF('Salesforce Dump'!H73&lt;&gt;"",'Salesforce Dump'!H73,"")</f>
        <v/>
      </c>
      <c r="J76" s="51" t="str">
        <f>IF('Salesforce Dump'!I73&lt;&gt;"",'Salesforce Dump'!I73,"")</f>
        <v/>
      </c>
      <c r="K76" s="51" t="str">
        <f>IF('Salesforce Dump'!J73&lt;&gt;"",'Salesforce Dump'!J73,"")</f>
        <v/>
      </c>
      <c r="L76" s="52" t="str">
        <f>IFERROR(INDEX('OBA Dump'!C:C,MATCH($E76*1,'OBA Dump'!$A:$A,0)),"")</f>
        <v/>
      </c>
      <c r="M76" s="52" t="str">
        <f>IFERROR(INDEX('OBA Dump'!D:D,MATCH($E76*1,'OBA Dump'!$A:$A,0)),"")</f>
        <v/>
      </c>
      <c r="N76" s="52"/>
      <c r="O76" s="52"/>
      <c r="P76" s="53"/>
      <c r="Q76" s="52"/>
      <c r="R76" s="38" t="str">
        <f>_xlfn.IFNA(VLOOKUP(E76,'Pre-Booked Holidays'!A:B,2,0),"")</f>
        <v/>
      </c>
      <c r="S76" s="38" t="str">
        <f>IF(E76="","",IF(IFERROR(VLOOKUP(E76,'Onbase Report'!D:E,2,0),"")&lt;&gt;"","Details in Onbase","No Details"))</f>
        <v/>
      </c>
      <c r="T76" s="38" t="str">
        <f>IF(LEFT('Salesforce Dump'!Q73,5)="BHX10",LEFT('Salesforce Dump'!Q73,5),LEFT('Salesforce Dump'!Q73,4))</f>
        <v/>
      </c>
    </row>
    <row r="77" spans="1:20" s="38" customFormat="1" ht="14.5" x14ac:dyDescent="0.35">
      <c r="A77" s="47" t="str">
        <f>IF('Salesforce Dump'!A74&lt;&gt;"",'Salesforce Dump'!A74,"")</f>
        <v/>
      </c>
      <c r="B77" s="48"/>
      <c r="C77" s="49" t="str">
        <f>IF('Salesforce Dump'!B74&lt;&gt;"",'Salesforce Dump'!B74,"")</f>
        <v/>
      </c>
      <c r="D77" s="48"/>
      <c r="E77" s="50" t="str">
        <f>IF('Salesforce Dump'!C74&lt;&gt;"",'Salesforce Dump'!C74,"")</f>
        <v/>
      </c>
      <c r="F77" s="49" t="str">
        <f>IF('Salesforce Dump'!D74&lt;&gt;"",'Salesforce Dump'!D74,"")</f>
        <v/>
      </c>
      <c r="G77" s="49" t="str">
        <f>IF('Salesforce Dump'!E74&lt;&gt;"",'Salesforce Dump'!E74,"")</f>
        <v/>
      </c>
      <c r="H77" s="49" t="str">
        <f>IF('Salesforce Dump'!G74&lt;&gt;"",'Salesforce Dump'!G74,"")</f>
        <v/>
      </c>
      <c r="I77" s="49" t="str">
        <f>IF('Salesforce Dump'!H74&lt;&gt;"",'Salesforce Dump'!H74,"")</f>
        <v/>
      </c>
      <c r="J77" s="51" t="str">
        <f>IF('Salesforce Dump'!I74&lt;&gt;"",'Salesforce Dump'!I74,"")</f>
        <v/>
      </c>
      <c r="K77" s="51" t="str">
        <f>IF('Salesforce Dump'!J74&lt;&gt;"",'Salesforce Dump'!J74,"")</f>
        <v/>
      </c>
      <c r="L77" s="52" t="str">
        <f>IFERROR(INDEX('OBA Dump'!C:C,MATCH($E77*1,'OBA Dump'!$A:$A,0)),"")</f>
        <v/>
      </c>
      <c r="M77" s="52" t="str">
        <f>IFERROR(INDEX('OBA Dump'!D:D,MATCH($E77*1,'OBA Dump'!$A:$A,0)),"")</f>
        <v/>
      </c>
      <c r="N77" s="52"/>
      <c r="O77" s="52"/>
      <c r="P77" s="53"/>
      <c r="Q77" s="52"/>
      <c r="R77" s="38" t="str">
        <f>_xlfn.IFNA(VLOOKUP(E77,'Pre-Booked Holidays'!A:B,2,0),"")</f>
        <v/>
      </c>
      <c r="S77" s="38" t="str">
        <f>IF(E77="","",IF(IFERROR(VLOOKUP(E77,'Onbase Report'!D:E,2,0),"")&lt;&gt;"","Details in Onbase","No Details"))</f>
        <v/>
      </c>
      <c r="T77" s="38" t="str">
        <f>IF(LEFT('Salesforce Dump'!Q74,5)="BHX10",LEFT('Salesforce Dump'!Q74,5),LEFT('Salesforce Dump'!Q74,4))</f>
        <v/>
      </c>
    </row>
    <row r="78" spans="1:20" s="38" customFormat="1" ht="14.5" x14ac:dyDescent="0.35">
      <c r="A78" s="47" t="str">
        <f>IF('Salesforce Dump'!A75&lt;&gt;"",'Salesforce Dump'!A75,"")</f>
        <v/>
      </c>
      <c r="B78" s="48"/>
      <c r="C78" s="49" t="str">
        <f>IF('Salesforce Dump'!B75&lt;&gt;"",'Salesforce Dump'!B75,"")</f>
        <v/>
      </c>
      <c r="D78" s="48"/>
      <c r="E78" s="50" t="str">
        <f>IF('Salesforce Dump'!C75&lt;&gt;"",'Salesforce Dump'!C75,"")</f>
        <v/>
      </c>
      <c r="F78" s="49" t="str">
        <f>IF('Salesforce Dump'!D75&lt;&gt;"",'Salesforce Dump'!D75,"")</f>
        <v/>
      </c>
      <c r="G78" s="49" t="str">
        <f>IF('Salesforce Dump'!E75&lt;&gt;"",'Salesforce Dump'!E75,"")</f>
        <v/>
      </c>
      <c r="H78" s="49" t="str">
        <f>IF('Salesforce Dump'!G75&lt;&gt;"",'Salesforce Dump'!G75,"")</f>
        <v/>
      </c>
      <c r="I78" s="49" t="str">
        <f>IF('Salesforce Dump'!H75&lt;&gt;"",'Salesforce Dump'!H75,"")</f>
        <v/>
      </c>
      <c r="J78" s="51" t="str">
        <f>IF('Salesforce Dump'!I75&lt;&gt;"",'Salesforce Dump'!I75,"")</f>
        <v/>
      </c>
      <c r="K78" s="51" t="str">
        <f>IF('Salesforce Dump'!J75&lt;&gt;"",'Salesforce Dump'!J75,"")</f>
        <v/>
      </c>
      <c r="L78" s="52" t="str">
        <f>IFERROR(INDEX('OBA Dump'!C:C,MATCH($E78*1,'OBA Dump'!$A:$A,0)),"")</f>
        <v/>
      </c>
      <c r="M78" s="52" t="str">
        <f>IFERROR(INDEX('OBA Dump'!D:D,MATCH($E78*1,'OBA Dump'!$A:$A,0)),"")</f>
        <v/>
      </c>
      <c r="N78" s="52"/>
      <c r="O78" s="52"/>
      <c r="P78" s="53"/>
      <c r="Q78" s="52"/>
      <c r="R78" s="38" t="str">
        <f>_xlfn.IFNA(VLOOKUP(E78,'Pre-Booked Holidays'!A:B,2,0),"")</f>
        <v/>
      </c>
      <c r="S78" s="38" t="str">
        <f>IF(E78="","",IF(IFERROR(VLOOKUP(E78,'Onbase Report'!D:E,2,0),"")&lt;&gt;"","Details in Onbase","No Details"))</f>
        <v/>
      </c>
      <c r="T78" s="38" t="str">
        <f>IF(LEFT('Salesforce Dump'!Q75,5)="BHX10",LEFT('Salesforce Dump'!Q75,5),LEFT('Salesforce Dump'!Q75,4))</f>
        <v/>
      </c>
    </row>
    <row r="79" spans="1:20" s="38" customFormat="1" ht="14.5" x14ac:dyDescent="0.35">
      <c r="A79" s="47" t="str">
        <f>IF('Salesforce Dump'!A76&lt;&gt;"",'Salesforce Dump'!A76,"")</f>
        <v/>
      </c>
      <c r="B79" s="48"/>
      <c r="C79" s="49" t="str">
        <f>IF('Salesforce Dump'!B76&lt;&gt;"",'Salesforce Dump'!B76,"")</f>
        <v/>
      </c>
      <c r="D79" s="48"/>
      <c r="E79" s="50" t="str">
        <f>IF('Salesforce Dump'!C76&lt;&gt;"",'Salesforce Dump'!C76,"")</f>
        <v/>
      </c>
      <c r="F79" s="49" t="str">
        <f>IF('Salesforce Dump'!D76&lt;&gt;"",'Salesforce Dump'!D76,"")</f>
        <v/>
      </c>
      <c r="G79" s="49" t="str">
        <f>IF('Salesforce Dump'!E76&lt;&gt;"",'Salesforce Dump'!E76,"")</f>
        <v/>
      </c>
      <c r="H79" s="49" t="str">
        <f>IF('Salesforce Dump'!G76&lt;&gt;"",'Salesforce Dump'!G76,"")</f>
        <v/>
      </c>
      <c r="I79" s="49" t="str">
        <f>IF('Salesforce Dump'!H76&lt;&gt;"",'Salesforce Dump'!H76,"")</f>
        <v/>
      </c>
      <c r="J79" s="51" t="str">
        <f>IF('Salesforce Dump'!I76&lt;&gt;"",'Salesforce Dump'!I76,"")</f>
        <v/>
      </c>
      <c r="K79" s="51" t="str">
        <f>IF('Salesforce Dump'!J76&lt;&gt;"",'Salesforce Dump'!J76,"")</f>
        <v/>
      </c>
      <c r="L79" s="52" t="str">
        <f>IFERROR(INDEX('OBA Dump'!C:C,MATCH($E79*1,'OBA Dump'!$A:$A,0)),"")</f>
        <v/>
      </c>
      <c r="M79" s="52" t="str">
        <f>IFERROR(INDEX('OBA Dump'!D:D,MATCH($E79*1,'OBA Dump'!$A:$A,0)),"")</f>
        <v/>
      </c>
      <c r="N79" s="52"/>
      <c r="O79" s="52"/>
      <c r="P79" s="53"/>
      <c r="Q79" s="52"/>
      <c r="R79" s="38" t="str">
        <f>_xlfn.IFNA(VLOOKUP(E79,'Pre-Booked Holidays'!A:B,2,0),"")</f>
        <v/>
      </c>
      <c r="S79" s="38" t="str">
        <f>IF(E79="","",IF(IFERROR(VLOOKUP(E79,'Onbase Report'!D:E,2,0),"")&lt;&gt;"","Details in Onbase","No Details"))</f>
        <v/>
      </c>
      <c r="T79" s="38" t="str">
        <f>IF(LEFT('Salesforce Dump'!Q76,5)="BHX10",LEFT('Salesforce Dump'!Q76,5),LEFT('Salesforce Dump'!Q76,4))</f>
        <v/>
      </c>
    </row>
    <row r="80" spans="1:20" s="38" customFormat="1" ht="14.5" x14ac:dyDescent="0.35">
      <c r="A80" s="47" t="str">
        <f>IF('Salesforce Dump'!A77&lt;&gt;"",'Salesforce Dump'!A77,"")</f>
        <v/>
      </c>
      <c r="B80" s="48"/>
      <c r="C80" s="49" t="str">
        <f>IF('Salesforce Dump'!B77&lt;&gt;"",'Salesforce Dump'!B77,"")</f>
        <v/>
      </c>
      <c r="D80" s="48"/>
      <c r="E80" s="50" t="str">
        <f>IF('Salesforce Dump'!C77&lt;&gt;"",'Salesforce Dump'!C77,"")</f>
        <v/>
      </c>
      <c r="F80" s="49" t="str">
        <f>IF('Salesforce Dump'!D77&lt;&gt;"",'Salesforce Dump'!D77,"")</f>
        <v/>
      </c>
      <c r="G80" s="49" t="str">
        <f>IF('Salesforce Dump'!E77&lt;&gt;"",'Salesforce Dump'!E77,"")</f>
        <v/>
      </c>
      <c r="H80" s="49" t="str">
        <f>IF('Salesforce Dump'!G77&lt;&gt;"",'Salesforce Dump'!G77,"")</f>
        <v/>
      </c>
      <c r="I80" s="49" t="str">
        <f>IF('Salesforce Dump'!H77&lt;&gt;"",'Salesforce Dump'!H77,"")</f>
        <v/>
      </c>
      <c r="J80" s="51" t="str">
        <f>IF('Salesforce Dump'!I77&lt;&gt;"",'Salesforce Dump'!I77,"")</f>
        <v/>
      </c>
      <c r="K80" s="51" t="str">
        <f>IF('Salesforce Dump'!J77&lt;&gt;"",'Salesforce Dump'!J77,"")</f>
        <v/>
      </c>
      <c r="L80" s="52" t="str">
        <f>IFERROR(INDEX('OBA Dump'!C:C,MATCH($E80*1,'OBA Dump'!$A:$A,0)),"")</f>
        <v/>
      </c>
      <c r="M80" s="52" t="str">
        <f>IFERROR(INDEX('OBA Dump'!D:D,MATCH($E80*1,'OBA Dump'!$A:$A,0)),"")</f>
        <v/>
      </c>
      <c r="N80" s="52"/>
      <c r="O80" s="52"/>
      <c r="P80" s="53"/>
      <c r="Q80" s="52"/>
      <c r="R80" s="38" t="str">
        <f>_xlfn.IFNA(VLOOKUP(E80,'Pre-Booked Holidays'!A:B,2,0),"")</f>
        <v/>
      </c>
      <c r="S80" s="38" t="str">
        <f>IF(E80="","",IF(IFERROR(VLOOKUP(E80,'Onbase Report'!D:E,2,0),"")&lt;&gt;"","Details in Onbase","No Details"))</f>
        <v/>
      </c>
      <c r="T80" s="38" t="str">
        <f>IF(LEFT('Salesforce Dump'!Q77,5)="BHX10",LEFT('Salesforce Dump'!Q77,5),LEFT('Salesforce Dump'!Q77,4))</f>
        <v/>
      </c>
    </row>
    <row r="81" spans="1:20" s="38" customFormat="1" ht="14.5" x14ac:dyDescent="0.35">
      <c r="A81" s="47" t="str">
        <f>IF('Salesforce Dump'!A78&lt;&gt;"",'Salesforce Dump'!A78,"")</f>
        <v/>
      </c>
      <c r="B81" s="48"/>
      <c r="C81" s="49" t="str">
        <f>IF('Salesforce Dump'!B78&lt;&gt;"",'Salesforce Dump'!B78,"")</f>
        <v/>
      </c>
      <c r="D81" s="48"/>
      <c r="E81" s="50" t="str">
        <f>IF('Salesforce Dump'!C78&lt;&gt;"",'Salesforce Dump'!C78,"")</f>
        <v/>
      </c>
      <c r="F81" s="49" t="str">
        <f>IF('Salesforce Dump'!D78&lt;&gt;"",'Salesforce Dump'!D78,"")</f>
        <v/>
      </c>
      <c r="G81" s="49" t="str">
        <f>IF('Salesforce Dump'!E78&lt;&gt;"",'Salesforce Dump'!E78,"")</f>
        <v/>
      </c>
      <c r="H81" s="49" t="str">
        <f>IF('Salesforce Dump'!G78&lt;&gt;"",'Salesforce Dump'!G78,"")</f>
        <v/>
      </c>
      <c r="I81" s="49" t="str">
        <f>IF('Salesforce Dump'!H78&lt;&gt;"",'Salesforce Dump'!H78,"")</f>
        <v/>
      </c>
      <c r="J81" s="51" t="str">
        <f>IF('Salesforce Dump'!I78&lt;&gt;"",'Salesforce Dump'!I78,"")</f>
        <v/>
      </c>
      <c r="K81" s="51" t="str">
        <f>IF('Salesforce Dump'!J78&lt;&gt;"",'Salesforce Dump'!J78,"")</f>
        <v/>
      </c>
      <c r="L81" s="52" t="str">
        <f>IFERROR(INDEX('OBA Dump'!C:C,MATCH($E81*1,'OBA Dump'!$A:$A,0)),"")</f>
        <v/>
      </c>
      <c r="M81" s="52" t="str">
        <f>IFERROR(INDEX('OBA Dump'!D:D,MATCH($E81*1,'OBA Dump'!$A:$A,0)),"")</f>
        <v/>
      </c>
      <c r="N81" s="52"/>
      <c r="O81" s="52"/>
      <c r="P81" s="53"/>
      <c r="Q81" s="52"/>
      <c r="R81" s="38" t="str">
        <f>_xlfn.IFNA(VLOOKUP(E81,'Pre-Booked Holidays'!A:B,2,0),"")</f>
        <v/>
      </c>
      <c r="S81" s="38" t="str">
        <f>IF(E81="","",IF(IFERROR(VLOOKUP(E81,'Onbase Report'!D:E,2,0),"")&lt;&gt;"","Details in Onbase","No Details"))</f>
        <v/>
      </c>
      <c r="T81" s="38" t="str">
        <f>IF(LEFT('Salesforce Dump'!Q78,5)="BHX10",LEFT('Salesforce Dump'!Q78,5),LEFT('Salesforce Dump'!Q78,4))</f>
        <v/>
      </c>
    </row>
    <row r="82" spans="1:20" s="38" customFormat="1" ht="14.5" x14ac:dyDescent="0.35">
      <c r="A82" s="47" t="str">
        <f>IF('Salesforce Dump'!A79&lt;&gt;"",'Salesforce Dump'!A79,"")</f>
        <v/>
      </c>
      <c r="B82" s="48"/>
      <c r="C82" s="49" t="str">
        <f>IF('Salesforce Dump'!B79&lt;&gt;"",'Salesforce Dump'!B79,"")</f>
        <v/>
      </c>
      <c r="D82" s="48"/>
      <c r="E82" s="50" t="str">
        <f>IF('Salesforce Dump'!C79&lt;&gt;"",'Salesforce Dump'!C79,"")</f>
        <v/>
      </c>
      <c r="F82" s="49" t="str">
        <f>IF('Salesforce Dump'!D79&lt;&gt;"",'Salesforce Dump'!D79,"")</f>
        <v/>
      </c>
      <c r="G82" s="49" t="str">
        <f>IF('Salesforce Dump'!E79&lt;&gt;"",'Salesforce Dump'!E79,"")</f>
        <v/>
      </c>
      <c r="H82" s="49" t="str">
        <f>IF('Salesforce Dump'!G79&lt;&gt;"",'Salesforce Dump'!G79,"")</f>
        <v/>
      </c>
      <c r="I82" s="49" t="str">
        <f>IF('Salesforce Dump'!H79&lt;&gt;"",'Salesforce Dump'!H79,"")</f>
        <v/>
      </c>
      <c r="J82" s="51" t="str">
        <f>IF('Salesforce Dump'!I79&lt;&gt;"",'Salesforce Dump'!I79,"")</f>
        <v/>
      </c>
      <c r="K82" s="51" t="str">
        <f>IF('Salesforce Dump'!J79&lt;&gt;"",'Salesforce Dump'!J79,"")</f>
        <v/>
      </c>
      <c r="L82" s="52" t="str">
        <f>IFERROR(INDEX('OBA Dump'!C:C,MATCH($E82*1,'OBA Dump'!$A:$A,0)),"")</f>
        <v/>
      </c>
      <c r="M82" s="52" t="str">
        <f>IFERROR(INDEX('OBA Dump'!D:D,MATCH($E82*1,'OBA Dump'!$A:$A,0)),"")</f>
        <v/>
      </c>
      <c r="N82" s="52"/>
      <c r="O82" s="52"/>
      <c r="P82" s="53"/>
      <c r="Q82" s="52"/>
      <c r="R82" s="38" t="str">
        <f>_xlfn.IFNA(VLOOKUP(E82,'Pre-Booked Holidays'!A:B,2,0),"")</f>
        <v/>
      </c>
      <c r="S82" s="38" t="str">
        <f>IF(E82="","",IF(IFERROR(VLOOKUP(E82,'Onbase Report'!D:E,2,0),"")&lt;&gt;"","Details in Onbase","No Details"))</f>
        <v/>
      </c>
      <c r="T82" s="38" t="str">
        <f>IF(LEFT('Salesforce Dump'!Q79,5)="BHX10",LEFT('Salesforce Dump'!Q79,5),LEFT('Salesforce Dump'!Q79,4))</f>
        <v/>
      </c>
    </row>
    <row r="83" spans="1:20" s="38" customFormat="1" ht="14.5" x14ac:dyDescent="0.35">
      <c r="A83" s="47" t="str">
        <f>IF('Salesforce Dump'!A80&lt;&gt;"",'Salesforce Dump'!A80,"")</f>
        <v/>
      </c>
      <c r="B83" s="48"/>
      <c r="C83" s="49" t="str">
        <f>IF('Salesforce Dump'!B80&lt;&gt;"",'Salesforce Dump'!B80,"")</f>
        <v/>
      </c>
      <c r="D83" s="48"/>
      <c r="E83" s="50" t="str">
        <f>IF('Salesforce Dump'!C80&lt;&gt;"",'Salesforce Dump'!C80,"")</f>
        <v/>
      </c>
      <c r="F83" s="49" t="str">
        <f>IF('Salesforce Dump'!D80&lt;&gt;"",'Salesforce Dump'!D80,"")</f>
        <v/>
      </c>
      <c r="G83" s="49" t="str">
        <f>IF('Salesforce Dump'!E80&lt;&gt;"",'Salesforce Dump'!E80,"")</f>
        <v/>
      </c>
      <c r="H83" s="49" t="str">
        <f>IF('Salesforce Dump'!G80&lt;&gt;"",'Salesforce Dump'!G80,"")</f>
        <v/>
      </c>
      <c r="I83" s="49" t="str">
        <f>IF('Salesforce Dump'!H80&lt;&gt;"",'Salesforce Dump'!H80,"")</f>
        <v/>
      </c>
      <c r="J83" s="51" t="str">
        <f>IF('Salesforce Dump'!I80&lt;&gt;"",'Salesforce Dump'!I80,"")</f>
        <v/>
      </c>
      <c r="K83" s="51" t="str">
        <f>IF('Salesforce Dump'!J80&lt;&gt;"",'Salesforce Dump'!J80,"")</f>
        <v/>
      </c>
      <c r="L83" s="52" t="str">
        <f>IFERROR(INDEX('OBA Dump'!C:C,MATCH($E83*1,'OBA Dump'!$A:$A,0)),"")</f>
        <v/>
      </c>
      <c r="M83" s="52" t="str">
        <f>IFERROR(INDEX('OBA Dump'!D:D,MATCH($E83*1,'OBA Dump'!$A:$A,0)),"")</f>
        <v/>
      </c>
      <c r="N83" s="52"/>
      <c r="O83" s="52"/>
      <c r="P83" s="53"/>
      <c r="Q83" s="52"/>
      <c r="R83" s="38" t="str">
        <f>_xlfn.IFNA(VLOOKUP(E83,'Pre-Booked Holidays'!A:B,2,0),"")</f>
        <v/>
      </c>
      <c r="S83" s="38" t="str">
        <f>IF(E83="","",IF(IFERROR(VLOOKUP(E83,'Onbase Report'!D:E,2,0),"")&lt;&gt;"","Details in Onbase","No Details"))</f>
        <v/>
      </c>
      <c r="T83" s="38" t="str">
        <f>IF(LEFT('Salesforce Dump'!Q80,5)="BHX10",LEFT('Salesforce Dump'!Q80,5),LEFT('Salesforce Dump'!Q80,4))</f>
        <v/>
      </c>
    </row>
    <row r="84" spans="1:20" s="38" customFormat="1" ht="14.5" x14ac:dyDescent="0.35">
      <c r="A84" s="47" t="str">
        <f>IF('Salesforce Dump'!A81&lt;&gt;"",'Salesforce Dump'!A81,"")</f>
        <v/>
      </c>
      <c r="B84" s="48"/>
      <c r="C84" s="49" t="str">
        <f>IF('Salesforce Dump'!B81&lt;&gt;"",'Salesforce Dump'!B81,"")</f>
        <v/>
      </c>
      <c r="D84" s="48"/>
      <c r="E84" s="50" t="str">
        <f>IF('Salesforce Dump'!C81&lt;&gt;"",'Salesforce Dump'!C81,"")</f>
        <v/>
      </c>
      <c r="F84" s="49" t="str">
        <f>IF('Salesforce Dump'!D81&lt;&gt;"",'Salesforce Dump'!D81,"")</f>
        <v/>
      </c>
      <c r="G84" s="49" t="str">
        <f>IF('Salesforce Dump'!E81&lt;&gt;"",'Salesforce Dump'!E81,"")</f>
        <v/>
      </c>
      <c r="H84" s="49" t="str">
        <f>IF('Salesforce Dump'!G81&lt;&gt;"",'Salesforce Dump'!G81,"")</f>
        <v/>
      </c>
      <c r="I84" s="49" t="str">
        <f>IF('Salesforce Dump'!H81&lt;&gt;"",'Salesforce Dump'!H81,"")</f>
        <v/>
      </c>
      <c r="J84" s="51" t="str">
        <f>IF('Salesforce Dump'!I81&lt;&gt;"",'Salesforce Dump'!I81,"")</f>
        <v/>
      </c>
      <c r="K84" s="51" t="str">
        <f>IF('Salesforce Dump'!J81&lt;&gt;"",'Salesforce Dump'!J81,"")</f>
        <v/>
      </c>
      <c r="L84" s="52" t="str">
        <f>IFERROR(INDEX('OBA Dump'!C:C,MATCH($E84*1,'OBA Dump'!$A:$A,0)),"")</f>
        <v/>
      </c>
      <c r="M84" s="52" t="str">
        <f>IFERROR(INDEX('OBA Dump'!D:D,MATCH($E84*1,'OBA Dump'!$A:$A,0)),"")</f>
        <v/>
      </c>
      <c r="N84" s="52"/>
      <c r="O84" s="52"/>
      <c r="P84" s="53"/>
      <c r="Q84" s="52"/>
      <c r="R84" s="38" t="str">
        <f>_xlfn.IFNA(VLOOKUP(E84,'Pre-Booked Holidays'!A:B,2,0),"")</f>
        <v/>
      </c>
      <c r="S84" s="38" t="str">
        <f>IF(E84="","",IF(IFERROR(VLOOKUP(E84,'Onbase Report'!D:E,2,0),"")&lt;&gt;"","Details in Onbase","No Details"))</f>
        <v/>
      </c>
      <c r="T84" s="38" t="str">
        <f>IF(LEFT('Salesforce Dump'!Q81,5)="BHX10",LEFT('Salesforce Dump'!Q81,5),LEFT('Salesforce Dump'!Q81,4))</f>
        <v/>
      </c>
    </row>
    <row r="85" spans="1:20" s="38" customFormat="1" ht="14.5" x14ac:dyDescent="0.35">
      <c r="A85" s="47" t="str">
        <f>IF('Salesforce Dump'!A82&lt;&gt;"",'Salesforce Dump'!A82,"")</f>
        <v/>
      </c>
      <c r="B85" s="48"/>
      <c r="C85" s="49" t="str">
        <f>IF('Salesforce Dump'!B82&lt;&gt;"",'Salesforce Dump'!B82,"")</f>
        <v/>
      </c>
      <c r="D85" s="48"/>
      <c r="E85" s="50" t="str">
        <f>IF('Salesforce Dump'!C82&lt;&gt;"",'Salesforce Dump'!C82,"")</f>
        <v/>
      </c>
      <c r="F85" s="49" t="str">
        <f>IF('Salesforce Dump'!D82&lt;&gt;"",'Salesforce Dump'!D82,"")</f>
        <v/>
      </c>
      <c r="G85" s="49" t="str">
        <f>IF('Salesforce Dump'!E82&lt;&gt;"",'Salesforce Dump'!E82,"")</f>
        <v/>
      </c>
      <c r="H85" s="49" t="str">
        <f>IF('Salesforce Dump'!G82&lt;&gt;"",'Salesforce Dump'!G82,"")</f>
        <v/>
      </c>
      <c r="I85" s="49" t="str">
        <f>IF('Salesforce Dump'!H82&lt;&gt;"",'Salesforce Dump'!H82,"")</f>
        <v/>
      </c>
      <c r="J85" s="51" t="str">
        <f>IF('Salesforce Dump'!I82&lt;&gt;"",'Salesforce Dump'!I82,"")</f>
        <v/>
      </c>
      <c r="K85" s="51" t="str">
        <f>IF('Salesforce Dump'!J82&lt;&gt;"",'Salesforce Dump'!J82,"")</f>
        <v/>
      </c>
      <c r="L85" s="52" t="str">
        <f>IFERROR(INDEX('OBA Dump'!C:C,MATCH($E85*1,'OBA Dump'!$A:$A,0)),"")</f>
        <v/>
      </c>
      <c r="M85" s="52" t="str">
        <f>IFERROR(INDEX('OBA Dump'!D:D,MATCH($E85*1,'OBA Dump'!$A:$A,0)),"")</f>
        <v/>
      </c>
      <c r="N85" s="52"/>
      <c r="O85" s="52"/>
      <c r="P85" s="53"/>
      <c r="Q85" s="52"/>
      <c r="R85" s="38" t="str">
        <f>_xlfn.IFNA(VLOOKUP(E85,'Pre-Booked Holidays'!A:B,2,0),"")</f>
        <v/>
      </c>
      <c r="S85" s="38" t="str">
        <f>IF(E85="","",IF(IFERROR(VLOOKUP(E85,'Onbase Report'!D:E,2,0),"")&lt;&gt;"","Details in Onbase","No Details"))</f>
        <v/>
      </c>
      <c r="T85" s="38" t="str">
        <f>IF(LEFT('Salesforce Dump'!Q82,5)="BHX10",LEFT('Salesforce Dump'!Q82,5),LEFT('Salesforce Dump'!Q82,4))</f>
        <v/>
      </c>
    </row>
    <row r="86" spans="1:20" s="38" customFormat="1" ht="14.5" x14ac:dyDescent="0.35">
      <c r="A86" s="47" t="str">
        <f>IF('Salesforce Dump'!A83&lt;&gt;"",'Salesforce Dump'!A83,"")</f>
        <v/>
      </c>
      <c r="B86" s="48"/>
      <c r="C86" s="49" t="str">
        <f>IF('Salesforce Dump'!B83&lt;&gt;"",'Salesforce Dump'!B83,"")</f>
        <v/>
      </c>
      <c r="D86" s="48"/>
      <c r="E86" s="50" t="str">
        <f>IF('Salesforce Dump'!C83&lt;&gt;"",'Salesforce Dump'!C83,"")</f>
        <v/>
      </c>
      <c r="F86" s="49" t="str">
        <f>IF('Salesforce Dump'!D83&lt;&gt;"",'Salesforce Dump'!D83,"")</f>
        <v/>
      </c>
      <c r="G86" s="49" t="str">
        <f>IF('Salesforce Dump'!E83&lt;&gt;"",'Salesforce Dump'!E83,"")</f>
        <v/>
      </c>
      <c r="H86" s="49" t="str">
        <f>IF('Salesforce Dump'!G83&lt;&gt;"",'Salesforce Dump'!G83,"")</f>
        <v/>
      </c>
      <c r="I86" s="49" t="str">
        <f>IF('Salesforce Dump'!H83&lt;&gt;"",'Salesforce Dump'!H83,"")</f>
        <v/>
      </c>
      <c r="J86" s="51" t="str">
        <f>IF('Salesforce Dump'!I83&lt;&gt;"",'Salesforce Dump'!I83,"")</f>
        <v/>
      </c>
      <c r="K86" s="51" t="str">
        <f>IF('Salesforce Dump'!J83&lt;&gt;"",'Salesforce Dump'!J83,"")</f>
        <v/>
      </c>
      <c r="L86" s="52" t="str">
        <f>IFERROR(INDEX('OBA Dump'!C:C,MATCH($E86*1,'OBA Dump'!$A:$A,0)),"")</f>
        <v/>
      </c>
      <c r="M86" s="52" t="str">
        <f>IFERROR(INDEX('OBA Dump'!D:D,MATCH($E86*1,'OBA Dump'!$A:$A,0)),"")</f>
        <v/>
      </c>
      <c r="N86" s="52"/>
      <c r="O86" s="52"/>
      <c r="P86" s="53"/>
      <c r="Q86" s="52"/>
      <c r="R86" s="38" t="str">
        <f>_xlfn.IFNA(VLOOKUP(E86,'Pre-Booked Holidays'!A:B,2,0),"")</f>
        <v/>
      </c>
      <c r="S86" s="38" t="str">
        <f>IF(E86="","",IF(IFERROR(VLOOKUP(E86,'Onbase Report'!D:E,2,0),"")&lt;&gt;"","Details in Onbase","No Details"))</f>
        <v/>
      </c>
      <c r="T86" s="38" t="str">
        <f>IF(LEFT('Salesforce Dump'!Q83,5)="BHX10",LEFT('Salesforce Dump'!Q83,5),LEFT('Salesforce Dump'!Q83,4))</f>
        <v/>
      </c>
    </row>
    <row r="87" spans="1:20" s="38" customFormat="1" ht="14.5" x14ac:dyDescent="0.35">
      <c r="A87" s="47" t="str">
        <f>IF('Salesforce Dump'!A84&lt;&gt;"",'Salesforce Dump'!A84,"")</f>
        <v/>
      </c>
      <c r="B87" s="48"/>
      <c r="C87" s="49" t="str">
        <f>IF('Salesforce Dump'!B84&lt;&gt;"",'Salesforce Dump'!B84,"")</f>
        <v/>
      </c>
      <c r="D87" s="48"/>
      <c r="E87" s="50" t="str">
        <f>IF('Salesforce Dump'!C84&lt;&gt;"",'Salesforce Dump'!C84,"")</f>
        <v/>
      </c>
      <c r="F87" s="49" t="str">
        <f>IF('Salesforce Dump'!D84&lt;&gt;"",'Salesforce Dump'!D84,"")</f>
        <v/>
      </c>
      <c r="G87" s="49" t="str">
        <f>IF('Salesforce Dump'!E84&lt;&gt;"",'Salesforce Dump'!E84,"")</f>
        <v/>
      </c>
      <c r="H87" s="49" t="str">
        <f>IF('Salesforce Dump'!G84&lt;&gt;"",'Salesforce Dump'!G84,"")</f>
        <v/>
      </c>
      <c r="I87" s="49" t="str">
        <f>IF('Salesforce Dump'!H84&lt;&gt;"",'Salesforce Dump'!H84,"")</f>
        <v/>
      </c>
      <c r="J87" s="51" t="str">
        <f>IF('Salesforce Dump'!I84&lt;&gt;"",'Salesforce Dump'!I84,"")</f>
        <v/>
      </c>
      <c r="K87" s="51" t="str">
        <f>IF('Salesforce Dump'!J84&lt;&gt;"",'Salesforce Dump'!J84,"")</f>
        <v/>
      </c>
      <c r="L87" s="52" t="str">
        <f>IFERROR(INDEX('OBA Dump'!C:C,MATCH($E87*1,'OBA Dump'!$A:$A,0)),"")</f>
        <v/>
      </c>
      <c r="M87" s="52" t="str">
        <f>IFERROR(INDEX('OBA Dump'!D:D,MATCH($E87*1,'OBA Dump'!$A:$A,0)),"")</f>
        <v/>
      </c>
      <c r="N87" s="52"/>
      <c r="O87" s="52"/>
      <c r="P87" s="53"/>
      <c r="Q87" s="52"/>
      <c r="R87" s="38" t="str">
        <f>_xlfn.IFNA(VLOOKUP(E87,'Pre-Booked Holidays'!A:B,2,0),"")</f>
        <v/>
      </c>
      <c r="S87" s="38" t="str">
        <f>IF(E87="","",IF(IFERROR(VLOOKUP(E87,'Onbase Report'!D:E,2,0),"")&lt;&gt;"","Details in Onbase","No Details"))</f>
        <v/>
      </c>
      <c r="T87" s="38" t="str">
        <f>IF(LEFT('Salesforce Dump'!Q84,5)="BHX10",LEFT('Salesforce Dump'!Q84,5),LEFT('Salesforce Dump'!Q84,4))</f>
        <v/>
      </c>
    </row>
    <row r="88" spans="1:20" s="38" customFormat="1" ht="14.5" x14ac:dyDescent="0.35">
      <c r="A88" s="47" t="str">
        <f>IF('Salesforce Dump'!A85&lt;&gt;"",'Salesforce Dump'!A85,"")</f>
        <v/>
      </c>
      <c r="B88" s="48"/>
      <c r="C88" s="49" t="str">
        <f>IF('Salesforce Dump'!B85&lt;&gt;"",'Salesforce Dump'!B85,"")</f>
        <v/>
      </c>
      <c r="D88" s="48"/>
      <c r="E88" s="50" t="str">
        <f>IF('Salesforce Dump'!C85&lt;&gt;"",'Salesforce Dump'!C85,"")</f>
        <v/>
      </c>
      <c r="F88" s="49" t="str">
        <f>IF('Salesforce Dump'!D85&lt;&gt;"",'Salesforce Dump'!D85,"")</f>
        <v/>
      </c>
      <c r="G88" s="49" t="str">
        <f>IF('Salesforce Dump'!E85&lt;&gt;"",'Salesforce Dump'!E85,"")</f>
        <v/>
      </c>
      <c r="H88" s="49" t="str">
        <f>IF('Salesforce Dump'!G85&lt;&gt;"",'Salesforce Dump'!G85,"")</f>
        <v/>
      </c>
      <c r="I88" s="49" t="str">
        <f>IF('Salesforce Dump'!H85&lt;&gt;"",'Salesforce Dump'!H85,"")</f>
        <v/>
      </c>
      <c r="J88" s="51" t="str">
        <f>IF('Salesforce Dump'!I85&lt;&gt;"",'Salesforce Dump'!I85,"")</f>
        <v/>
      </c>
      <c r="K88" s="51" t="str">
        <f>IF('Salesforce Dump'!J85&lt;&gt;"",'Salesforce Dump'!J85,"")</f>
        <v/>
      </c>
      <c r="L88" s="52" t="str">
        <f>IFERROR(INDEX('OBA Dump'!C:C,MATCH($E88*1,'OBA Dump'!$A:$A,0)),"")</f>
        <v/>
      </c>
      <c r="M88" s="52" t="str">
        <f>IFERROR(INDEX('OBA Dump'!D:D,MATCH($E88*1,'OBA Dump'!$A:$A,0)),"")</f>
        <v/>
      </c>
      <c r="N88" s="52"/>
      <c r="O88" s="52"/>
      <c r="P88" s="53"/>
      <c r="Q88" s="52"/>
      <c r="R88" s="38" t="str">
        <f>_xlfn.IFNA(VLOOKUP(E88,'Pre-Booked Holidays'!A:B,2,0),"")</f>
        <v/>
      </c>
      <c r="S88" s="38" t="str">
        <f>IF(E88="","",IF(IFERROR(VLOOKUP(E88,'Onbase Report'!D:E,2,0),"")&lt;&gt;"","Details in Onbase","No Details"))</f>
        <v/>
      </c>
      <c r="T88" s="38" t="str">
        <f>IF(LEFT('Salesforce Dump'!Q85,5)="BHX10",LEFT('Salesforce Dump'!Q85,5),LEFT('Salesforce Dump'!Q85,4))</f>
        <v/>
      </c>
    </row>
    <row r="89" spans="1:20" s="38" customFormat="1" ht="14.5" x14ac:dyDescent="0.35">
      <c r="A89" s="47" t="str">
        <f>IF('Salesforce Dump'!A86&lt;&gt;"",'Salesforce Dump'!A86,"")</f>
        <v/>
      </c>
      <c r="B89" s="48"/>
      <c r="C89" s="49" t="str">
        <f>IF('Salesforce Dump'!B86&lt;&gt;"",'Salesforce Dump'!B86,"")</f>
        <v/>
      </c>
      <c r="D89" s="48"/>
      <c r="E89" s="50" t="str">
        <f>IF('Salesforce Dump'!C86&lt;&gt;"",'Salesforce Dump'!C86,"")</f>
        <v/>
      </c>
      <c r="F89" s="49" t="str">
        <f>IF('Salesforce Dump'!D86&lt;&gt;"",'Salesforce Dump'!D86,"")</f>
        <v/>
      </c>
      <c r="G89" s="49" t="str">
        <f>IF('Salesforce Dump'!E86&lt;&gt;"",'Salesforce Dump'!E86,"")</f>
        <v/>
      </c>
      <c r="H89" s="49" t="str">
        <f>IF('Salesforce Dump'!G86&lt;&gt;"",'Salesforce Dump'!G86,"")</f>
        <v/>
      </c>
      <c r="I89" s="49" t="str">
        <f>IF('Salesforce Dump'!H86&lt;&gt;"",'Salesforce Dump'!H86,"")</f>
        <v/>
      </c>
      <c r="J89" s="51" t="str">
        <f>IF('Salesforce Dump'!I86&lt;&gt;"",'Salesforce Dump'!I86,"")</f>
        <v/>
      </c>
      <c r="K89" s="51" t="str">
        <f>IF('Salesforce Dump'!J86&lt;&gt;"",'Salesforce Dump'!J86,"")</f>
        <v/>
      </c>
      <c r="L89" s="52" t="str">
        <f>IFERROR(INDEX('OBA Dump'!C:C,MATCH($E89*1,'OBA Dump'!$A:$A,0)),"")</f>
        <v/>
      </c>
      <c r="M89" s="52" t="str">
        <f>IFERROR(INDEX('OBA Dump'!D:D,MATCH($E89*1,'OBA Dump'!$A:$A,0)),"")</f>
        <v/>
      </c>
      <c r="N89" s="52"/>
      <c r="O89" s="52"/>
      <c r="P89" s="53"/>
      <c r="Q89" s="52"/>
      <c r="R89" s="38" t="str">
        <f>_xlfn.IFNA(VLOOKUP(E89,'Pre-Booked Holidays'!A:B,2,0),"")</f>
        <v/>
      </c>
      <c r="S89" s="38" t="str">
        <f>IF(E89="","",IF(IFERROR(VLOOKUP(E89,'Onbase Report'!D:E,2,0),"")&lt;&gt;"","Details in Onbase","No Details"))</f>
        <v/>
      </c>
      <c r="T89" s="38" t="str">
        <f>IF(LEFT('Salesforce Dump'!Q86,5)="BHX10",LEFT('Salesforce Dump'!Q86,5),LEFT('Salesforce Dump'!Q86,4))</f>
        <v/>
      </c>
    </row>
    <row r="90" spans="1:20" s="38" customFormat="1" ht="14.5" x14ac:dyDescent="0.35">
      <c r="A90" s="47" t="str">
        <f>IF('Salesforce Dump'!A87&lt;&gt;"",'Salesforce Dump'!A87,"")</f>
        <v/>
      </c>
      <c r="B90" s="48"/>
      <c r="C90" s="49" t="str">
        <f>IF('Salesforce Dump'!B87&lt;&gt;"",'Salesforce Dump'!B87,"")</f>
        <v/>
      </c>
      <c r="D90" s="48"/>
      <c r="E90" s="50" t="str">
        <f>IF('Salesforce Dump'!C87&lt;&gt;"",'Salesforce Dump'!C87,"")</f>
        <v/>
      </c>
      <c r="F90" s="49" t="str">
        <f>IF('Salesforce Dump'!D87&lt;&gt;"",'Salesforce Dump'!D87,"")</f>
        <v/>
      </c>
      <c r="G90" s="49" t="str">
        <f>IF('Salesforce Dump'!E87&lt;&gt;"",'Salesforce Dump'!E87,"")</f>
        <v/>
      </c>
      <c r="H90" s="49" t="str">
        <f>IF('Salesforce Dump'!G87&lt;&gt;"",'Salesforce Dump'!G87,"")</f>
        <v/>
      </c>
      <c r="I90" s="49" t="str">
        <f>IF('Salesforce Dump'!H87&lt;&gt;"",'Salesforce Dump'!H87,"")</f>
        <v/>
      </c>
      <c r="J90" s="51" t="str">
        <f>IF('Salesforce Dump'!I87&lt;&gt;"",'Salesforce Dump'!I87,"")</f>
        <v/>
      </c>
      <c r="K90" s="51" t="str">
        <f>IF('Salesforce Dump'!J87&lt;&gt;"",'Salesforce Dump'!J87,"")</f>
        <v/>
      </c>
      <c r="L90" s="52" t="str">
        <f>IFERROR(INDEX('OBA Dump'!C:C,MATCH($E90*1,'OBA Dump'!$A:$A,0)),"")</f>
        <v/>
      </c>
      <c r="M90" s="52" t="str">
        <f>IFERROR(INDEX('OBA Dump'!D:D,MATCH($E90*1,'OBA Dump'!$A:$A,0)),"")</f>
        <v/>
      </c>
      <c r="N90" s="52"/>
      <c r="O90" s="52"/>
      <c r="P90" s="53"/>
      <c r="Q90" s="52"/>
      <c r="R90" s="38" t="str">
        <f>_xlfn.IFNA(VLOOKUP(E90,'Pre-Booked Holidays'!A:B,2,0),"")</f>
        <v/>
      </c>
      <c r="S90" s="38" t="str">
        <f>IF(E90="","",IF(IFERROR(VLOOKUP(E90,'Onbase Report'!D:E,2,0),"")&lt;&gt;"","Details in Onbase","No Details"))</f>
        <v/>
      </c>
      <c r="T90" s="38" t="str">
        <f>IF(LEFT('Salesforce Dump'!Q87,5)="BHX10",LEFT('Salesforce Dump'!Q87,5),LEFT('Salesforce Dump'!Q87,4))</f>
        <v/>
      </c>
    </row>
    <row r="91" spans="1:20" s="38" customFormat="1" ht="14.5" x14ac:dyDescent="0.35">
      <c r="A91" s="47" t="str">
        <f>IF('Salesforce Dump'!A88&lt;&gt;"",'Salesforce Dump'!A88,"")</f>
        <v/>
      </c>
      <c r="B91" s="48"/>
      <c r="C91" s="49" t="str">
        <f>IF('Salesforce Dump'!B88&lt;&gt;"",'Salesforce Dump'!B88,"")</f>
        <v/>
      </c>
      <c r="D91" s="48"/>
      <c r="E91" s="50" t="str">
        <f>IF('Salesforce Dump'!C88&lt;&gt;"",'Salesforce Dump'!C88,"")</f>
        <v/>
      </c>
      <c r="F91" s="49" t="str">
        <f>IF('Salesforce Dump'!D88&lt;&gt;"",'Salesforce Dump'!D88,"")</f>
        <v/>
      </c>
      <c r="G91" s="49" t="str">
        <f>IF('Salesforce Dump'!E88&lt;&gt;"",'Salesforce Dump'!E88,"")</f>
        <v/>
      </c>
      <c r="H91" s="49" t="str">
        <f>IF('Salesforce Dump'!G88&lt;&gt;"",'Salesforce Dump'!G88,"")</f>
        <v/>
      </c>
      <c r="I91" s="49" t="str">
        <f>IF('Salesforce Dump'!H88&lt;&gt;"",'Salesforce Dump'!H88,"")</f>
        <v/>
      </c>
      <c r="J91" s="51" t="str">
        <f>IF('Salesforce Dump'!I88&lt;&gt;"",'Salesforce Dump'!I88,"")</f>
        <v/>
      </c>
      <c r="K91" s="51" t="str">
        <f>IF('Salesforce Dump'!J88&lt;&gt;"",'Salesforce Dump'!J88,"")</f>
        <v/>
      </c>
      <c r="L91" s="52" t="str">
        <f>IFERROR(INDEX('OBA Dump'!C:C,MATCH($E91*1,'OBA Dump'!$A:$A,0)),"")</f>
        <v/>
      </c>
      <c r="M91" s="52" t="str">
        <f>IFERROR(INDEX('OBA Dump'!D:D,MATCH($E91*1,'OBA Dump'!$A:$A,0)),"")</f>
        <v/>
      </c>
      <c r="N91" s="52"/>
      <c r="O91" s="52"/>
      <c r="P91" s="53"/>
      <c r="Q91" s="52"/>
      <c r="R91" s="38" t="str">
        <f>_xlfn.IFNA(VLOOKUP(E91,'Pre-Booked Holidays'!A:B,2,0),"")</f>
        <v/>
      </c>
      <c r="S91" s="38" t="str">
        <f>IF(E91="","",IF(IFERROR(VLOOKUP(E91,'Onbase Report'!D:E,2,0),"")&lt;&gt;"","Details in Onbase","No Details"))</f>
        <v/>
      </c>
      <c r="T91" s="38" t="str">
        <f>IF(LEFT('Salesforce Dump'!Q88,5)="BHX10",LEFT('Salesforce Dump'!Q88,5),LEFT('Salesforce Dump'!Q88,4))</f>
        <v/>
      </c>
    </row>
    <row r="92" spans="1:20" s="38" customFormat="1" ht="14.5" x14ac:dyDescent="0.35">
      <c r="A92" s="47" t="str">
        <f>IF('Salesforce Dump'!A89&lt;&gt;"",'Salesforce Dump'!A89,"")</f>
        <v/>
      </c>
      <c r="B92" s="48"/>
      <c r="C92" s="49" t="str">
        <f>IF('Salesforce Dump'!B89&lt;&gt;"",'Salesforce Dump'!B89,"")</f>
        <v/>
      </c>
      <c r="D92" s="48"/>
      <c r="E92" s="50" t="str">
        <f>IF('Salesforce Dump'!C89&lt;&gt;"",'Salesforce Dump'!C89,"")</f>
        <v/>
      </c>
      <c r="F92" s="49" t="str">
        <f>IF('Salesforce Dump'!D89&lt;&gt;"",'Salesforce Dump'!D89,"")</f>
        <v/>
      </c>
      <c r="G92" s="49" t="str">
        <f>IF('Salesforce Dump'!E89&lt;&gt;"",'Salesforce Dump'!E89,"")</f>
        <v/>
      </c>
      <c r="H92" s="49" t="str">
        <f>IF('Salesforce Dump'!G89&lt;&gt;"",'Salesforce Dump'!G89,"")</f>
        <v/>
      </c>
      <c r="I92" s="49" t="str">
        <f>IF('Salesforce Dump'!H89&lt;&gt;"",'Salesforce Dump'!H89,"")</f>
        <v/>
      </c>
      <c r="J92" s="51" t="str">
        <f>IF('Salesforce Dump'!I89&lt;&gt;"",'Salesforce Dump'!I89,"")</f>
        <v/>
      </c>
      <c r="K92" s="51" t="str">
        <f>IF('Salesforce Dump'!J89&lt;&gt;"",'Salesforce Dump'!J89,"")</f>
        <v/>
      </c>
      <c r="L92" s="52" t="str">
        <f>IFERROR(INDEX('OBA Dump'!C:C,MATCH($E92*1,'OBA Dump'!$A:$A,0)),"")</f>
        <v/>
      </c>
      <c r="M92" s="52" t="str">
        <f>IFERROR(INDEX('OBA Dump'!D:D,MATCH($E92*1,'OBA Dump'!$A:$A,0)),"")</f>
        <v/>
      </c>
      <c r="N92" s="52"/>
      <c r="O92" s="52"/>
      <c r="P92" s="53"/>
      <c r="Q92" s="52"/>
      <c r="R92" s="38" t="str">
        <f>_xlfn.IFNA(VLOOKUP(E92,'Pre-Booked Holidays'!A:B,2,0),"")</f>
        <v/>
      </c>
      <c r="S92" s="38" t="str">
        <f>IF(E92="","",IF(IFERROR(VLOOKUP(E92,'Onbase Report'!D:E,2,0),"")&lt;&gt;"","Details in Onbase","No Details"))</f>
        <v/>
      </c>
      <c r="T92" s="38" t="str">
        <f>IF(LEFT('Salesforce Dump'!Q89,5)="BHX10",LEFT('Salesforce Dump'!Q89,5),LEFT('Salesforce Dump'!Q89,4))</f>
        <v/>
      </c>
    </row>
    <row r="93" spans="1:20" s="38" customFormat="1" ht="14.5" x14ac:dyDescent="0.35">
      <c r="A93" s="47" t="str">
        <f>IF('Salesforce Dump'!A90&lt;&gt;"",'Salesforce Dump'!A90,"")</f>
        <v/>
      </c>
      <c r="B93" s="48"/>
      <c r="C93" s="49" t="str">
        <f>IF('Salesforce Dump'!B90&lt;&gt;"",'Salesforce Dump'!B90,"")</f>
        <v/>
      </c>
      <c r="D93" s="48"/>
      <c r="E93" s="50" t="str">
        <f>IF('Salesforce Dump'!C90&lt;&gt;"",'Salesforce Dump'!C90,"")</f>
        <v/>
      </c>
      <c r="F93" s="49" t="str">
        <f>IF('Salesforce Dump'!D90&lt;&gt;"",'Salesforce Dump'!D90,"")</f>
        <v/>
      </c>
      <c r="G93" s="49" t="str">
        <f>IF('Salesforce Dump'!E90&lt;&gt;"",'Salesforce Dump'!E90,"")</f>
        <v/>
      </c>
      <c r="H93" s="49" t="str">
        <f>IF('Salesforce Dump'!G90&lt;&gt;"",'Salesforce Dump'!G90,"")</f>
        <v/>
      </c>
      <c r="I93" s="49" t="str">
        <f>IF('Salesforce Dump'!H90&lt;&gt;"",'Salesforce Dump'!H90,"")</f>
        <v/>
      </c>
      <c r="J93" s="51" t="str">
        <f>IF('Salesforce Dump'!I90&lt;&gt;"",'Salesforce Dump'!I90,"")</f>
        <v/>
      </c>
      <c r="K93" s="51" t="str">
        <f>IF('Salesforce Dump'!J90&lt;&gt;"",'Salesforce Dump'!J90,"")</f>
        <v/>
      </c>
      <c r="L93" s="52" t="str">
        <f>IFERROR(INDEX('OBA Dump'!C:C,MATCH($E93*1,'OBA Dump'!$A:$A,0)),"")</f>
        <v/>
      </c>
      <c r="M93" s="52" t="str">
        <f>IFERROR(INDEX('OBA Dump'!D:D,MATCH($E93*1,'OBA Dump'!$A:$A,0)),"")</f>
        <v/>
      </c>
      <c r="N93" s="52"/>
      <c r="O93" s="52"/>
      <c r="P93" s="53"/>
      <c r="Q93" s="52"/>
      <c r="R93" s="38" t="str">
        <f>_xlfn.IFNA(VLOOKUP(E93,'Pre-Booked Holidays'!A:B,2,0),"")</f>
        <v/>
      </c>
      <c r="S93" s="38" t="str">
        <f>IF(E93="","",IF(IFERROR(VLOOKUP(E93,'Onbase Report'!D:E,2,0),"")&lt;&gt;"","Details in Onbase","No Details"))</f>
        <v/>
      </c>
      <c r="T93" s="38" t="str">
        <f>IF(LEFT('Salesforce Dump'!Q90,5)="BHX10",LEFT('Salesforce Dump'!Q90,5),LEFT('Salesforce Dump'!Q90,4))</f>
        <v/>
      </c>
    </row>
    <row r="94" spans="1:20" s="38" customFormat="1" ht="14.5" x14ac:dyDescent="0.35">
      <c r="A94" s="47" t="str">
        <f>IF('Salesforce Dump'!A91&lt;&gt;"",'Salesforce Dump'!A91,"")</f>
        <v/>
      </c>
      <c r="B94" s="48"/>
      <c r="C94" s="49" t="str">
        <f>IF('Salesforce Dump'!B91&lt;&gt;"",'Salesforce Dump'!B91,"")</f>
        <v/>
      </c>
      <c r="D94" s="48"/>
      <c r="E94" s="50" t="str">
        <f>IF('Salesforce Dump'!C91&lt;&gt;"",'Salesforce Dump'!C91,"")</f>
        <v/>
      </c>
      <c r="F94" s="49" t="str">
        <f>IF('Salesforce Dump'!D91&lt;&gt;"",'Salesforce Dump'!D91,"")</f>
        <v/>
      </c>
      <c r="G94" s="49" t="str">
        <f>IF('Salesforce Dump'!E91&lt;&gt;"",'Salesforce Dump'!E91,"")</f>
        <v/>
      </c>
      <c r="H94" s="49" t="str">
        <f>IF('Salesforce Dump'!G91&lt;&gt;"",'Salesforce Dump'!G91,"")</f>
        <v/>
      </c>
      <c r="I94" s="49" t="str">
        <f>IF('Salesforce Dump'!H91&lt;&gt;"",'Salesforce Dump'!H91,"")</f>
        <v/>
      </c>
      <c r="J94" s="51" t="str">
        <f>IF('Salesforce Dump'!I91&lt;&gt;"",'Salesforce Dump'!I91,"")</f>
        <v/>
      </c>
      <c r="K94" s="51" t="str">
        <f>IF('Salesforce Dump'!J91&lt;&gt;"",'Salesforce Dump'!J91,"")</f>
        <v/>
      </c>
      <c r="L94" s="52" t="str">
        <f>IFERROR(INDEX('OBA Dump'!C:C,MATCH($E94*1,'OBA Dump'!$A:$A,0)),"")</f>
        <v/>
      </c>
      <c r="M94" s="52" t="str">
        <f>IFERROR(INDEX('OBA Dump'!D:D,MATCH($E94*1,'OBA Dump'!$A:$A,0)),"")</f>
        <v/>
      </c>
      <c r="N94" s="52"/>
      <c r="O94" s="52"/>
      <c r="P94" s="53"/>
      <c r="Q94" s="52"/>
      <c r="R94" s="38" t="str">
        <f>_xlfn.IFNA(VLOOKUP(E94,'Pre-Booked Holidays'!A:B,2,0),"")</f>
        <v/>
      </c>
      <c r="S94" s="38" t="str">
        <f>IF(E94="","",IF(IFERROR(VLOOKUP(E94,'Onbase Report'!D:E,2,0),"")&lt;&gt;"","Details in Onbase","No Details"))</f>
        <v/>
      </c>
      <c r="T94" s="38" t="str">
        <f>IF(LEFT('Salesforce Dump'!Q91,5)="BHX10",LEFT('Salesforce Dump'!Q91,5),LEFT('Salesforce Dump'!Q91,4))</f>
        <v/>
      </c>
    </row>
    <row r="95" spans="1:20" s="38" customFormat="1" ht="14.5" x14ac:dyDescent="0.35">
      <c r="A95" s="47" t="str">
        <f>IF('Salesforce Dump'!A92&lt;&gt;"",'Salesforce Dump'!A92,"")</f>
        <v/>
      </c>
      <c r="B95" s="48"/>
      <c r="C95" s="49" t="str">
        <f>IF('Salesforce Dump'!B92&lt;&gt;"",'Salesforce Dump'!B92,"")</f>
        <v/>
      </c>
      <c r="D95" s="48"/>
      <c r="E95" s="50" t="str">
        <f>IF('Salesforce Dump'!C92&lt;&gt;"",'Salesforce Dump'!C92,"")</f>
        <v/>
      </c>
      <c r="F95" s="49" t="str">
        <f>IF('Salesforce Dump'!D92&lt;&gt;"",'Salesforce Dump'!D92,"")</f>
        <v/>
      </c>
      <c r="G95" s="49" t="str">
        <f>IF('Salesforce Dump'!E92&lt;&gt;"",'Salesforce Dump'!E92,"")</f>
        <v/>
      </c>
      <c r="H95" s="49" t="str">
        <f>IF('Salesforce Dump'!G92&lt;&gt;"",'Salesforce Dump'!G92,"")</f>
        <v/>
      </c>
      <c r="I95" s="49" t="str">
        <f>IF('Salesforce Dump'!H92&lt;&gt;"",'Salesforce Dump'!H92,"")</f>
        <v/>
      </c>
      <c r="J95" s="51" t="str">
        <f>IF('Salesforce Dump'!I92&lt;&gt;"",'Salesforce Dump'!I92,"")</f>
        <v/>
      </c>
      <c r="K95" s="51" t="str">
        <f>IF('Salesforce Dump'!J92&lt;&gt;"",'Salesforce Dump'!J92,"")</f>
        <v/>
      </c>
      <c r="L95" s="52" t="str">
        <f>IFERROR(INDEX('OBA Dump'!C:C,MATCH($E95*1,'OBA Dump'!$A:$A,0)),"")</f>
        <v/>
      </c>
      <c r="M95" s="52" t="str">
        <f>IFERROR(INDEX('OBA Dump'!D:D,MATCH($E95*1,'OBA Dump'!$A:$A,0)),"")</f>
        <v/>
      </c>
      <c r="N95" s="52"/>
      <c r="O95" s="52"/>
      <c r="P95" s="53"/>
      <c r="Q95" s="52"/>
      <c r="R95" s="38" t="str">
        <f>_xlfn.IFNA(VLOOKUP(E95,'Pre-Booked Holidays'!A:B,2,0),"")</f>
        <v/>
      </c>
      <c r="S95" s="38" t="str">
        <f>IF(E95="","",IF(IFERROR(VLOOKUP(E95,'Onbase Report'!D:E,2,0),"")&lt;&gt;"","Details in Onbase","No Details"))</f>
        <v/>
      </c>
      <c r="T95" s="38" t="str">
        <f>IF(LEFT('Salesforce Dump'!Q92,5)="BHX10",LEFT('Salesforce Dump'!Q92,5),LEFT('Salesforce Dump'!Q92,4))</f>
        <v/>
      </c>
    </row>
    <row r="96" spans="1:20" s="38" customFormat="1" ht="14.5" x14ac:dyDescent="0.35">
      <c r="A96" s="47" t="str">
        <f>IF('Salesforce Dump'!A93&lt;&gt;"",'Salesforce Dump'!A93,"")</f>
        <v/>
      </c>
      <c r="B96" s="48"/>
      <c r="C96" s="49" t="str">
        <f>IF('Salesforce Dump'!B93&lt;&gt;"",'Salesforce Dump'!B93,"")</f>
        <v/>
      </c>
      <c r="D96" s="48"/>
      <c r="E96" s="50" t="str">
        <f>IF('Salesforce Dump'!C93&lt;&gt;"",'Salesforce Dump'!C93,"")</f>
        <v/>
      </c>
      <c r="F96" s="49" t="str">
        <f>IF('Salesforce Dump'!D93&lt;&gt;"",'Salesforce Dump'!D93,"")</f>
        <v/>
      </c>
      <c r="G96" s="49" t="str">
        <f>IF('Salesforce Dump'!E93&lt;&gt;"",'Salesforce Dump'!E93,"")</f>
        <v/>
      </c>
      <c r="H96" s="49" t="str">
        <f>IF('Salesforce Dump'!G93&lt;&gt;"",'Salesforce Dump'!G93,"")</f>
        <v/>
      </c>
      <c r="I96" s="49" t="str">
        <f>IF('Salesforce Dump'!H93&lt;&gt;"",'Salesforce Dump'!H93,"")</f>
        <v/>
      </c>
      <c r="J96" s="51" t="str">
        <f>IF('Salesforce Dump'!I93&lt;&gt;"",'Salesforce Dump'!I93,"")</f>
        <v/>
      </c>
      <c r="K96" s="51" t="str">
        <f>IF('Salesforce Dump'!J93&lt;&gt;"",'Salesforce Dump'!J93,"")</f>
        <v/>
      </c>
      <c r="L96" s="52" t="str">
        <f>IFERROR(INDEX('OBA Dump'!C:C,MATCH($E96*1,'OBA Dump'!$A:$A,0)),"")</f>
        <v/>
      </c>
      <c r="M96" s="52" t="str">
        <f>IFERROR(INDEX('OBA Dump'!D:D,MATCH($E96*1,'OBA Dump'!$A:$A,0)),"")</f>
        <v/>
      </c>
      <c r="N96" s="52"/>
      <c r="O96" s="52"/>
      <c r="P96" s="53"/>
      <c r="Q96" s="52"/>
      <c r="R96" s="38" t="str">
        <f>_xlfn.IFNA(VLOOKUP(E96,'Pre-Booked Holidays'!A:B,2,0),"")</f>
        <v/>
      </c>
      <c r="S96" s="38" t="str">
        <f>IF(E96="","",IF(IFERROR(VLOOKUP(E96,'Onbase Report'!D:E,2,0),"")&lt;&gt;"","Details in Onbase","No Details"))</f>
        <v/>
      </c>
      <c r="T96" s="38" t="str">
        <f>IF(LEFT('Salesforce Dump'!Q93,5)="BHX10",LEFT('Salesforce Dump'!Q93,5),LEFT('Salesforce Dump'!Q93,4))</f>
        <v/>
      </c>
    </row>
    <row r="97" spans="1:21" s="38" customFormat="1" ht="14.5" x14ac:dyDescent="0.35">
      <c r="A97" s="47" t="str">
        <f>IF('Salesforce Dump'!A94&lt;&gt;"",'Salesforce Dump'!A94,"")</f>
        <v/>
      </c>
      <c r="B97" s="48"/>
      <c r="C97" s="49" t="str">
        <f>IF('Salesforce Dump'!B94&lt;&gt;"",'Salesforce Dump'!B94,"")</f>
        <v/>
      </c>
      <c r="D97" s="48"/>
      <c r="E97" s="50" t="str">
        <f>IF('Salesforce Dump'!C94&lt;&gt;"",'Salesforce Dump'!C94,"")</f>
        <v/>
      </c>
      <c r="F97" s="49" t="str">
        <f>IF('Salesforce Dump'!D94&lt;&gt;"",'Salesforce Dump'!D94,"")</f>
        <v/>
      </c>
      <c r="G97" s="49" t="str">
        <f>IF('Salesforce Dump'!E94&lt;&gt;"",'Salesforce Dump'!E94,"")</f>
        <v/>
      </c>
      <c r="H97" s="49" t="str">
        <f>IF('Salesforce Dump'!G94&lt;&gt;"",'Salesforce Dump'!G94,"")</f>
        <v/>
      </c>
      <c r="I97" s="49" t="str">
        <f>IF('Salesforce Dump'!H94&lt;&gt;"",'Salesforce Dump'!H94,"")</f>
        <v/>
      </c>
      <c r="J97" s="51" t="str">
        <f>IF('Salesforce Dump'!I94&lt;&gt;"",'Salesforce Dump'!I94,"")</f>
        <v/>
      </c>
      <c r="K97" s="51" t="str">
        <f>IF('Salesforce Dump'!J94&lt;&gt;"",'Salesforce Dump'!J94,"")</f>
        <v/>
      </c>
      <c r="L97" s="52" t="str">
        <f>IFERROR(INDEX('OBA Dump'!C:C,MATCH($E97*1,'OBA Dump'!$A:$A,0)),"")</f>
        <v/>
      </c>
      <c r="M97" s="52" t="str">
        <f>IFERROR(INDEX('OBA Dump'!D:D,MATCH($E97*1,'OBA Dump'!$A:$A,0)),"")</f>
        <v/>
      </c>
      <c r="N97" s="52"/>
      <c r="O97" s="52"/>
      <c r="P97" s="53"/>
      <c r="Q97" s="52"/>
      <c r="R97" s="38" t="str">
        <f>_xlfn.IFNA(VLOOKUP(E97,'Pre-Booked Holidays'!A:B,2,0),"")</f>
        <v/>
      </c>
      <c r="S97" s="38" t="str">
        <f>IF(E97="","",IF(IFERROR(VLOOKUP(E97,'Onbase Report'!D:E,2,0),"")&lt;&gt;"","Details in Onbase","No Details"))</f>
        <v/>
      </c>
      <c r="T97" s="38" t="str">
        <f>IF(LEFT('Salesforce Dump'!Q94,5)="BHX10",LEFT('Salesforce Dump'!Q94,5),LEFT('Salesforce Dump'!Q94,4))</f>
        <v/>
      </c>
    </row>
    <row r="98" spans="1:21" s="38" customFormat="1" ht="14.5" x14ac:dyDescent="0.35">
      <c r="A98" s="47" t="str">
        <f>IF('Salesforce Dump'!A95&lt;&gt;"",'Salesforce Dump'!A95,"")</f>
        <v/>
      </c>
      <c r="B98" s="48"/>
      <c r="C98" s="49" t="str">
        <f>IF('Salesforce Dump'!B95&lt;&gt;"",'Salesforce Dump'!B95,"")</f>
        <v/>
      </c>
      <c r="D98" s="48"/>
      <c r="E98" s="50" t="str">
        <f>IF('Salesforce Dump'!C95&lt;&gt;"",'Salesforce Dump'!C95,"")</f>
        <v/>
      </c>
      <c r="F98" s="49" t="str">
        <f>IF('Salesforce Dump'!D95&lt;&gt;"",'Salesforce Dump'!D95,"")</f>
        <v/>
      </c>
      <c r="G98" s="49" t="str">
        <f>IF('Salesforce Dump'!E95&lt;&gt;"",'Salesforce Dump'!E95,"")</f>
        <v/>
      </c>
      <c r="H98" s="49" t="str">
        <f>IF('Salesforce Dump'!G95&lt;&gt;"",'Salesforce Dump'!G95,"")</f>
        <v/>
      </c>
      <c r="I98" s="49" t="str">
        <f>IF('Salesforce Dump'!H95&lt;&gt;"",'Salesforce Dump'!H95,"")</f>
        <v/>
      </c>
      <c r="J98" s="51" t="str">
        <f>IF('Salesforce Dump'!I95&lt;&gt;"",'Salesforce Dump'!I95,"")</f>
        <v/>
      </c>
      <c r="K98" s="51" t="str">
        <f>IF('Salesforce Dump'!J95&lt;&gt;"",'Salesforce Dump'!J95,"")</f>
        <v/>
      </c>
      <c r="L98" s="52" t="str">
        <f>IFERROR(INDEX('OBA Dump'!C:C,MATCH($E98*1,'OBA Dump'!$A:$A,0)),"")</f>
        <v/>
      </c>
      <c r="M98" s="52" t="str">
        <f>IFERROR(INDEX('OBA Dump'!D:D,MATCH($E98*1,'OBA Dump'!$A:$A,0)),"")</f>
        <v/>
      </c>
      <c r="N98" s="52"/>
      <c r="O98" s="52"/>
      <c r="P98" s="53"/>
      <c r="Q98" s="52"/>
      <c r="R98" s="38" t="str">
        <f>_xlfn.IFNA(VLOOKUP(E98,'Pre-Booked Holidays'!A:B,2,0),"")</f>
        <v/>
      </c>
      <c r="S98" s="38" t="str">
        <f>IF(E98="","",IF(IFERROR(VLOOKUP(E98,'Onbase Report'!D:E,2,0),"")&lt;&gt;"","Details in Onbase","No Details"))</f>
        <v/>
      </c>
      <c r="T98" s="38" t="str">
        <f>IF(LEFT('Salesforce Dump'!Q95,5)="BHX10",LEFT('Salesforce Dump'!Q95,5),LEFT('Salesforce Dump'!Q95,4))</f>
        <v/>
      </c>
    </row>
    <row r="99" spans="1:21" s="38" customFormat="1" ht="14.5" x14ac:dyDescent="0.35">
      <c r="A99" s="47" t="str">
        <f>IF('Salesforce Dump'!A96&lt;&gt;"",'Salesforce Dump'!A96,"")</f>
        <v/>
      </c>
      <c r="B99" s="48"/>
      <c r="C99" s="49" t="str">
        <f>IF('Salesforce Dump'!B96&lt;&gt;"",'Salesforce Dump'!B96,"")</f>
        <v/>
      </c>
      <c r="D99" s="48"/>
      <c r="E99" s="50" t="str">
        <f>IF('Salesforce Dump'!C96&lt;&gt;"",'Salesforce Dump'!C96,"")</f>
        <v/>
      </c>
      <c r="F99" s="49" t="str">
        <f>IF('Salesforce Dump'!D96&lt;&gt;"",'Salesforce Dump'!D96,"")</f>
        <v/>
      </c>
      <c r="G99" s="49" t="str">
        <f>IF('Salesforce Dump'!E96&lt;&gt;"",'Salesforce Dump'!E96,"")</f>
        <v/>
      </c>
      <c r="H99" s="49" t="str">
        <f>IF('Salesforce Dump'!G96&lt;&gt;"",'Salesforce Dump'!G96,"")</f>
        <v/>
      </c>
      <c r="I99" s="49" t="str">
        <f>IF('Salesforce Dump'!H96&lt;&gt;"",'Salesforce Dump'!H96,"")</f>
        <v/>
      </c>
      <c r="J99" s="51" t="str">
        <f>IF('Salesforce Dump'!I96&lt;&gt;"",'Salesforce Dump'!I96,"")</f>
        <v/>
      </c>
      <c r="K99" s="51" t="str">
        <f>IF('Salesforce Dump'!J96&lt;&gt;"",'Salesforce Dump'!J96,"")</f>
        <v/>
      </c>
      <c r="L99" s="52" t="str">
        <f>IFERROR(INDEX('OBA Dump'!C:C,MATCH($E99*1,'OBA Dump'!$A:$A,0)),"")</f>
        <v/>
      </c>
      <c r="M99" s="52" t="str">
        <f>IFERROR(INDEX('OBA Dump'!D:D,MATCH($E99*1,'OBA Dump'!$A:$A,0)),"")</f>
        <v/>
      </c>
      <c r="N99" s="52"/>
      <c r="O99" s="52"/>
      <c r="P99" s="53"/>
      <c r="Q99" s="52"/>
      <c r="R99" s="38" t="str">
        <f>_xlfn.IFNA(VLOOKUP(E99,'Pre-Booked Holidays'!A:B,2,0),"")</f>
        <v/>
      </c>
      <c r="S99" s="38" t="str">
        <f>IF(E99="","",IF(IFERROR(VLOOKUP(E99,'Onbase Report'!D:E,2,0),"")&lt;&gt;"","Details in Onbase","No Details"))</f>
        <v/>
      </c>
      <c r="T99" s="38" t="str">
        <f>IF(LEFT('Salesforce Dump'!Q96,5)="BHX10",LEFT('Salesforce Dump'!Q96,5),LEFT('Salesforce Dump'!Q96,4))</f>
        <v/>
      </c>
    </row>
    <row r="100" spans="1:21" s="38" customFormat="1" ht="14.5" x14ac:dyDescent="0.35">
      <c r="A100" s="47" t="str">
        <f>IF('Salesforce Dump'!A97&lt;&gt;"",'Salesforce Dump'!A97,"")</f>
        <v/>
      </c>
      <c r="B100" s="48"/>
      <c r="C100" s="49" t="str">
        <f>IF('Salesforce Dump'!B97&lt;&gt;"",'Salesforce Dump'!B97,"")</f>
        <v/>
      </c>
      <c r="D100" s="48"/>
      <c r="E100" s="50" t="str">
        <f>IF('Salesforce Dump'!C97&lt;&gt;"",'Salesforce Dump'!C97,"")</f>
        <v/>
      </c>
      <c r="F100" s="49" t="str">
        <f>IF('Salesforce Dump'!D97&lt;&gt;"",'Salesforce Dump'!D97,"")</f>
        <v/>
      </c>
      <c r="G100" s="49" t="str">
        <f>IF('Salesforce Dump'!E97&lt;&gt;"",'Salesforce Dump'!E97,"")</f>
        <v/>
      </c>
      <c r="H100" s="49" t="str">
        <f>IF('Salesforce Dump'!G97&lt;&gt;"",'Salesforce Dump'!G97,"")</f>
        <v/>
      </c>
      <c r="I100" s="49" t="str">
        <f>IF('Salesforce Dump'!H97&lt;&gt;"",'Salesforce Dump'!H97,"")</f>
        <v/>
      </c>
      <c r="J100" s="51" t="str">
        <f>IF('Salesforce Dump'!I97&lt;&gt;"",'Salesforce Dump'!I97,"")</f>
        <v/>
      </c>
      <c r="K100" s="51" t="str">
        <f>IF('Salesforce Dump'!J97&lt;&gt;"",'Salesforce Dump'!J97,"")</f>
        <v/>
      </c>
      <c r="L100" s="52" t="str">
        <f>IFERROR(INDEX('OBA Dump'!C:C,MATCH($E100*1,'OBA Dump'!$A:$A,0)),"")</f>
        <v/>
      </c>
      <c r="M100" s="52" t="str">
        <f>IFERROR(INDEX('OBA Dump'!D:D,MATCH($E100*1,'OBA Dump'!$A:$A,0)),"")</f>
        <v/>
      </c>
      <c r="N100" s="52"/>
      <c r="O100" s="52"/>
      <c r="P100" s="53"/>
      <c r="Q100" s="52"/>
      <c r="R100" s="38" t="str">
        <f>_xlfn.IFNA(VLOOKUP(E100,'Pre-Booked Holidays'!A:B,2,0),"")</f>
        <v/>
      </c>
      <c r="S100" s="38" t="str">
        <f>IF(E100="","",IF(IFERROR(VLOOKUP(E100,'Onbase Report'!D:E,2,0),"")&lt;&gt;"","Details in Onbase","No Details"))</f>
        <v/>
      </c>
      <c r="T100" s="38" t="str">
        <f>IF(LEFT('Salesforce Dump'!Q97,5)="BHX10",LEFT('Salesforce Dump'!Q97,5),LEFT('Salesforce Dump'!Q97,4))</f>
        <v/>
      </c>
    </row>
    <row r="101" spans="1:21" s="38" customFormat="1" ht="14.5" x14ac:dyDescent="0.35">
      <c r="A101" s="47" t="str">
        <f>IF('Salesforce Dump'!A98&lt;&gt;"",'Salesforce Dump'!A98,"")</f>
        <v/>
      </c>
      <c r="B101" s="48"/>
      <c r="C101" s="49" t="str">
        <f>IF('Salesforce Dump'!B98&lt;&gt;"",'Salesforce Dump'!B98,"")</f>
        <v/>
      </c>
      <c r="D101" s="48"/>
      <c r="E101" s="50" t="str">
        <f>IF('Salesforce Dump'!C98&lt;&gt;"",'Salesforce Dump'!C98,"")</f>
        <v/>
      </c>
      <c r="F101" s="49" t="str">
        <f>IF('Salesforce Dump'!D98&lt;&gt;"",'Salesforce Dump'!D98,"")</f>
        <v/>
      </c>
      <c r="G101" s="49" t="str">
        <f>IF('Salesforce Dump'!E98&lt;&gt;"",'Salesforce Dump'!E98,"")</f>
        <v/>
      </c>
      <c r="H101" s="49" t="str">
        <f>IF('Salesforce Dump'!G98&lt;&gt;"",'Salesforce Dump'!G98,"")</f>
        <v/>
      </c>
      <c r="I101" s="49" t="str">
        <f>IF('Salesforce Dump'!H98&lt;&gt;"",'Salesforce Dump'!H98,"")</f>
        <v/>
      </c>
      <c r="J101" s="51" t="str">
        <f>IF('Salesforce Dump'!I98&lt;&gt;"",'Salesforce Dump'!I98,"")</f>
        <v/>
      </c>
      <c r="K101" s="51" t="str">
        <f>IF('Salesforce Dump'!J98&lt;&gt;"",'Salesforce Dump'!J98,"")</f>
        <v/>
      </c>
      <c r="L101" s="52" t="str">
        <f>IFERROR(INDEX('OBA Dump'!C:C,MATCH($E101*1,'OBA Dump'!$A:$A,0)),"")</f>
        <v/>
      </c>
      <c r="M101" s="52" t="str">
        <f>IFERROR(INDEX('OBA Dump'!D:D,MATCH($E101*1,'OBA Dump'!$A:$A,0)),"")</f>
        <v/>
      </c>
      <c r="N101" s="52"/>
      <c r="O101" s="52"/>
      <c r="P101" s="53"/>
      <c r="Q101" s="52"/>
      <c r="R101" s="38" t="str">
        <f>_xlfn.IFNA(VLOOKUP(E101,'Pre-Booked Holidays'!A:B,2,0),"")</f>
        <v/>
      </c>
      <c r="S101" s="38" t="str">
        <f>IF(E101="","",IF(IFERROR(VLOOKUP(E101,'Onbase Report'!D:E,2,0),"")&lt;&gt;"","Details in Onbase","No Details"))</f>
        <v/>
      </c>
      <c r="T101" s="38" t="str">
        <f>IF(LEFT('Salesforce Dump'!Q98,5)="BHX10",LEFT('Salesforce Dump'!Q98,5),LEFT('Salesforce Dump'!Q98,4))</f>
        <v/>
      </c>
    </row>
    <row r="102" spans="1:21" ht="14.5" x14ac:dyDescent="0.35">
      <c r="A102" s="47" t="str">
        <f>IF('Salesforce Dump'!A99&lt;&gt;"",'Salesforce Dump'!A99,"")</f>
        <v/>
      </c>
      <c r="B102" s="48"/>
      <c r="C102" s="49" t="str">
        <f>IF('Salesforce Dump'!B99&lt;&gt;"",'Salesforce Dump'!B99,"")</f>
        <v/>
      </c>
      <c r="D102" s="48"/>
      <c r="E102" s="50" t="str">
        <f>IF('Salesforce Dump'!C99&lt;&gt;"",'Salesforce Dump'!C99,"")</f>
        <v/>
      </c>
      <c r="F102" s="49" t="str">
        <f>IF('Salesforce Dump'!D99&lt;&gt;"",'Salesforce Dump'!D99,"")</f>
        <v/>
      </c>
      <c r="G102" s="49" t="str">
        <f>IF('Salesforce Dump'!E99&lt;&gt;"",'Salesforce Dump'!E99,"")</f>
        <v/>
      </c>
      <c r="H102" s="49" t="str">
        <f>IF('Salesforce Dump'!G99&lt;&gt;"",'Salesforce Dump'!G99,"")</f>
        <v/>
      </c>
      <c r="I102" s="49" t="str">
        <f>IF('Salesforce Dump'!H99&lt;&gt;"",'Salesforce Dump'!H99,"")</f>
        <v/>
      </c>
      <c r="J102" s="51" t="str">
        <f>IF('Salesforce Dump'!I99&lt;&gt;"",'Salesforce Dump'!I99,"")</f>
        <v/>
      </c>
      <c r="K102" s="51" t="str">
        <f>IF('Salesforce Dump'!J99&lt;&gt;"",'Salesforce Dump'!J99,"")</f>
        <v/>
      </c>
      <c r="L102" s="52" t="str">
        <f>IFERROR(INDEX('OBA Dump'!C:C,MATCH($E102*1,'OBA Dump'!$A:$A,0)),"")</f>
        <v/>
      </c>
      <c r="M102" s="52" t="str">
        <f>IFERROR(INDEX('OBA Dump'!D:D,MATCH($E102*1,'OBA Dump'!$A:$A,0)),"")</f>
        <v/>
      </c>
      <c r="N102" s="52"/>
      <c r="O102" s="52"/>
      <c r="P102" s="53"/>
      <c r="Q102" s="52"/>
      <c r="R102" s="38" t="str">
        <f>_xlfn.IFNA(VLOOKUP(E102,'Pre-Booked Holidays'!A:B,2,0),"")</f>
        <v/>
      </c>
      <c r="S102" s="38" t="str">
        <f>IF(E102="","",IF(IFERROR(VLOOKUP(E102,'Onbase Report'!D:E,2,0),"")&lt;&gt;"","Details in Onbase","No Details"))</f>
        <v/>
      </c>
      <c r="T102" s="38" t="str">
        <f>IF(LEFT('Salesforce Dump'!Q99,5)="BHX10",LEFT('Salesforce Dump'!Q99,5),LEFT('Salesforce Dump'!Q99,4))</f>
        <v/>
      </c>
      <c r="U102" s="38"/>
    </row>
    <row r="103" spans="1:21" ht="14.5" x14ac:dyDescent="0.35">
      <c r="A103" s="47" t="str">
        <f>IF('Salesforce Dump'!A100&lt;&gt;"",'Salesforce Dump'!A100,"")</f>
        <v/>
      </c>
      <c r="B103" s="48"/>
      <c r="C103" s="49" t="str">
        <f>IF('Salesforce Dump'!B100&lt;&gt;"",'Salesforce Dump'!B100,"")</f>
        <v/>
      </c>
      <c r="D103" s="48"/>
      <c r="E103" s="50" t="str">
        <f>IF('Salesforce Dump'!C100&lt;&gt;"",'Salesforce Dump'!C100,"")</f>
        <v/>
      </c>
      <c r="F103" s="49" t="str">
        <f>IF('Salesforce Dump'!D100&lt;&gt;"",'Salesforce Dump'!D100,"")</f>
        <v/>
      </c>
      <c r="G103" s="49" t="str">
        <f>IF('Salesforce Dump'!E100&lt;&gt;"",'Salesforce Dump'!E100,"")</f>
        <v/>
      </c>
      <c r="H103" s="49" t="str">
        <f>IF('Salesforce Dump'!G100&lt;&gt;"",'Salesforce Dump'!G100,"")</f>
        <v/>
      </c>
      <c r="I103" s="49" t="str">
        <f>IF('Salesforce Dump'!H100&lt;&gt;"",'Salesforce Dump'!H100,"")</f>
        <v/>
      </c>
      <c r="J103" s="51" t="str">
        <f>IF('Salesforce Dump'!I100&lt;&gt;"",'Salesforce Dump'!I100,"")</f>
        <v/>
      </c>
      <c r="K103" s="51" t="str">
        <f>IF('Salesforce Dump'!J100&lt;&gt;"",'Salesforce Dump'!J100,"")</f>
        <v/>
      </c>
      <c r="L103" s="52" t="str">
        <f>IFERROR(INDEX('OBA Dump'!C:C,MATCH($E103*1,'OBA Dump'!$A:$A,0)),"")</f>
        <v/>
      </c>
      <c r="M103" s="52" t="str">
        <f>IFERROR(INDEX('OBA Dump'!D:D,MATCH($E103*1,'OBA Dump'!$A:$A,0)),"")</f>
        <v/>
      </c>
      <c r="N103" s="52"/>
      <c r="O103" s="52"/>
      <c r="P103" s="53"/>
      <c r="Q103" s="52"/>
      <c r="R103" s="38" t="str">
        <f>_xlfn.IFNA(VLOOKUP(E103,'Pre-Booked Holidays'!A:B,2,0),"")</f>
        <v/>
      </c>
      <c r="S103" s="38" t="str">
        <f>IF(E103="","",IF(IFERROR(VLOOKUP(E103,'Onbase Report'!D:E,2,0),"")&lt;&gt;"","Details in Onbase","No Details"))</f>
        <v/>
      </c>
      <c r="T103" s="38" t="str">
        <f>IF(LEFT('Salesforce Dump'!Q100,5)="BHX10",LEFT('Salesforce Dump'!Q100,5),LEFT('Salesforce Dump'!Q100,4))</f>
        <v/>
      </c>
      <c r="U103" s="38"/>
    </row>
    <row r="104" spans="1:21" ht="14.5" x14ac:dyDescent="0.35">
      <c r="A104" s="47" t="str">
        <f>IF('Salesforce Dump'!A101&lt;&gt;"",'Salesforce Dump'!A101,"")</f>
        <v/>
      </c>
      <c r="B104" s="48"/>
      <c r="C104" s="49" t="str">
        <f>IF('Salesforce Dump'!B101&lt;&gt;"",'Salesforce Dump'!B101,"")</f>
        <v/>
      </c>
      <c r="D104" s="48"/>
      <c r="E104" s="50" t="str">
        <f>IF('Salesforce Dump'!C101&lt;&gt;"",'Salesforce Dump'!C101,"")</f>
        <v/>
      </c>
      <c r="F104" s="49" t="str">
        <f>IF('Salesforce Dump'!D101&lt;&gt;"",'Salesforce Dump'!D101,"")</f>
        <v/>
      </c>
      <c r="G104" s="49" t="str">
        <f>IF('Salesforce Dump'!E101&lt;&gt;"",'Salesforce Dump'!E101,"")</f>
        <v/>
      </c>
      <c r="H104" s="49" t="str">
        <f>IF('Salesforce Dump'!G101&lt;&gt;"",'Salesforce Dump'!G101,"")</f>
        <v/>
      </c>
      <c r="I104" s="49" t="str">
        <f>IF('Salesforce Dump'!H101&lt;&gt;"",'Salesforce Dump'!H101,"")</f>
        <v/>
      </c>
      <c r="J104" s="51" t="str">
        <f>IF('Salesforce Dump'!I101&lt;&gt;"",'Salesforce Dump'!I101,"")</f>
        <v/>
      </c>
      <c r="K104" s="51" t="str">
        <f>IF('Salesforce Dump'!J101&lt;&gt;"",'Salesforce Dump'!J101,"")</f>
        <v/>
      </c>
      <c r="L104" s="52" t="str">
        <f>IFERROR(INDEX('OBA Dump'!C:C,MATCH($E104*1,'OBA Dump'!$A:$A,0)),"")</f>
        <v/>
      </c>
      <c r="M104" s="52" t="str">
        <f>IFERROR(INDEX('OBA Dump'!D:D,MATCH($E104*1,'OBA Dump'!$A:$A,0)),"")</f>
        <v/>
      </c>
      <c r="N104" s="52"/>
      <c r="O104" s="52"/>
      <c r="P104" s="53"/>
      <c r="Q104" s="52"/>
      <c r="R104" s="38" t="str">
        <f>_xlfn.IFNA(VLOOKUP(E104,'Pre-Booked Holidays'!A:B,2,0),"")</f>
        <v/>
      </c>
      <c r="S104" s="38" t="str">
        <f>IF(E104="","",IF(IFERROR(VLOOKUP(E104,'Onbase Report'!D:E,2,0),"")&lt;&gt;"","Details in Onbase","No Details"))</f>
        <v/>
      </c>
      <c r="T104" s="38" t="str">
        <f>IF(LEFT('Salesforce Dump'!Q101,5)="BHX10",LEFT('Salesforce Dump'!Q101,5),LEFT('Salesforce Dump'!Q101,4))</f>
        <v/>
      </c>
      <c r="U104" s="38"/>
    </row>
    <row r="105" spans="1:21" ht="14.5" x14ac:dyDescent="0.35">
      <c r="A105" s="47" t="str">
        <f>IF('Salesforce Dump'!A102&lt;&gt;"",'Salesforce Dump'!A102,"")</f>
        <v/>
      </c>
      <c r="B105" s="48"/>
      <c r="C105" s="49" t="str">
        <f>IF('Salesforce Dump'!B102&lt;&gt;"",'Salesforce Dump'!B102,"")</f>
        <v/>
      </c>
      <c r="D105" s="48"/>
      <c r="E105" s="50" t="str">
        <f>IF('Salesforce Dump'!C102&lt;&gt;"",'Salesforce Dump'!C102,"")</f>
        <v/>
      </c>
      <c r="F105" s="49" t="str">
        <f>IF('Salesforce Dump'!D102&lt;&gt;"",'Salesforce Dump'!D102,"")</f>
        <v/>
      </c>
      <c r="G105" s="49" t="str">
        <f>IF('Salesforce Dump'!E102&lt;&gt;"",'Salesforce Dump'!E102,"")</f>
        <v/>
      </c>
      <c r="H105" s="49" t="str">
        <f>IF('Salesforce Dump'!G102&lt;&gt;"",'Salesforce Dump'!G102,"")</f>
        <v/>
      </c>
      <c r="I105" s="49" t="str">
        <f>IF('Salesforce Dump'!H102&lt;&gt;"",'Salesforce Dump'!H102,"")</f>
        <v/>
      </c>
      <c r="J105" s="51" t="str">
        <f>IF('Salesforce Dump'!I102&lt;&gt;"",'Salesforce Dump'!I102,"")</f>
        <v/>
      </c>
      <c r="K105" s="51" t="str">
        <f>IF('Salesforce Dump'!J102&lt;&gt;"",'Salesforce Dump'!J102,"")</f>
        <v/>
      </c>
      <c r="L105" s="52" t="str">
        <f>IFERROR(INDEX('OBA Dump'!C:C,MATCH($E105*1,'OBA Dump'!$A:$A,0)),"")</f>
        <v/>
      </c>
      <c r="M105" s="52" t="str">
        <f>IFERROR(INDEX('OBA Dump'!D:D,MATCH($E105*1,'OBA Dump'!$A:$A,0)),"")</f>
        <v/>
      </c>
      <c r="N105" s="52"/>
      <c r="O105" s="52"/>
      <c r="P105" s="53"/>
      <c r="Q105" s="52"/>
      <c r="R105" s="38" t="str">
        <f>_xlfn.IFNA(VLOOKUP(E105,'Pre-Booked Holidays'!A:B,2,0),"")</f>
        <v/>
      </c>
      <c r="S105" s="38" t="str">
        <f>IF(E105="","",IF(IFERROR(VLOOKUP(E105,'Onbase Report'!D:E,2,0),"")&lt;&gt;"","Details in Onbase","No Details"))</f>
        <v/>
      </c>
      <c r="T105" s="38" t="str">
        <f>IF(LEFT('Salesforce Dump'!Q102,5)="BHX10",LEFT('Salesforce Dump'!Q102,5),LEFT('Salesforce Dump'!Q102,4))</f>
        <v/>
      </c>
      <c r="U105" s="38"/>
    </row>
    <row r="106" spans="1:21" ht="14.5" x14ac:dyDescent="0.35">
      <c r="A106" s="47" t="str">
        <f>IF('Salesforce Dump'!A103&lt;&gt;"",'Salesforce Dump'!A103,"")</f>
        <v/>
      </c>
      <c r="B106" s="48"/>
      <c r="C106" s="49" t="str">
        <f>IF('Salesforce Dump'!B103&lt;&gt;"",'Salesforce Dump'!B103,"")</f>
        <v/>
      </c>
      <c r="D106" s="48"/>
      <c r="E106" s="50" t="str">
        <f>IF('Salesforce Dump'!C103&lt;&gt;"",'Salesforce Dump'!C103,"")</f>
        <v/>
      </c>
      <c r="F106" s="49" t="str">
        <f>IF('Salesforce Dump'!D103&lt;&gt;"",'Salesforce Dump'!D103,"")</f>
        <v/>
      </c>
      <c r="G106" s="49" t="str">
        <f>IF('Salesforce Dump'!E103&lt;&gt;"",'Salesforce Dump'!E103,"")</f>
        <v/>
      </c>
      <c r="H106" s="49" t="str">
        <f>IF('Salesforce Dump'!G103&lt;&gt;"",'Salesforce Dump'!G103,"")</f>
        <v/>
      </c>
      <c r="I106" s="49" t="str">
        <f>IF('Salesforce Dump'!H103&lt;&gt;"",'Salesforce Dump'!H103,"")</f>
        <v/>
      </c>
      <c r="J106" s="51" t="str">
        <f>IF('Salesforce Dump'!I103&lt;&gt;"",'Salesforce Dump'!I103,"")</f>
        <v/>
      </c>
      <c r="K106" s="51" t="str">
        <f>IF('Salesforce Dump'!J103&lt;&gt;"",'Salesforce Dump'!J103,"")</f>
        <v/>
      </c>
      <c r="L106" s="52" t="str">
        <f>IFERROR(INDEX('OBA Dump'!C:C,MATCH($E106*1,'OBA Dump'!$A:$A,0)),"")</f>
        <v/>
      </c>
      <c r="M106" s="52" t="str">
        <f>IFERROR(INDEX('OBA Dump'!D:D,MATCH($E106*1,'OBA Dump'!$A:$A,0)),"")</f>
        <v/>
      </c>
      <c r="N106" s="52"/>
      <c r="O106" s="52"/>
      <c r="P106" s="53"/>
      <c r="Q106" s="52"/>
      <c r="R106" s="38" t="str">
        <f>_xlfn.IFNA(VLOOKUP(E106,'Pre-Booked Holidays'!A:B,2,0),"")</f>
        <v/>
      </c>
      <c r="S106" s="38" t="str">
        <f>IF(E106="","",IF(IFERROR(VLOOKUP(E106,'Onbase Report'!D:E,2,0),"")&lt;&gt;"","Details in Onbase","No Details"))</f>
        <v/>
      </c>
      <c r="T106" s="38" t="str">
        <f>IF(LEFT('Salesforce Dump'!Q103,5)="BHX10",LEFT('Salesforce Dump'!Q103,5),LEFT('Salesforce Dump'!Q103,4))</f>
        <v/>
      </c>
      <c r="U106" s="38"/>
    </row>
    <row r="107" spans="1:21" ht="14.5" x14ac:dyDescent="0.35">
      <c r="A107" s="47" t="str">
        <f>IF('Salesforce Dump'!A104&lt;&gt;"",'Salesforce Dump'!A104,"")</f>
        <v/>
      </c>
      <c r="B107" s="48"/>
      <c r="C107" s="49" t="str">
        <f>IF('Salesforce Dump'!B104&lt;&gt;"",'Salesforce Dump'!B104,"")</f>
        <v/>
      </c>
      <c r="D107" s="48"/>
      <c r="E107" s="50" t="str">
        <f>IF('Salesforce Dump'!C104&lt;&gt;"",'Salesforce Dump'!C104,"")</f>
        <v/>
      </c>
      <c r="F107" s="49" t="str">
        <f>IF('Salesforce Dump'!D104&lt;&gt;"",'Salesforce Dump'!D104,"")</f>
        <v/>
      </c>
      <c r="G107" s="49" t="str">
        <f>IF('Salesforce Dump'!E104&lt;&gt;"",'Salesforce Dump'!E104,"")</f>
        <v/>
      </c>
      <c r="H107" s="49" t="str">
        <f>IF('Salesforce Dump'!G104&lt;&gt;"",'Salesforce Dump'!G104,"")</f>
        <v/>
      </c>
      <c r="I107" s="49" t="str">
        <f>IF('Salesforce Dump'!H104&lt;&gt;"",'Salesforce Dump'!H104,"")</f>
        <v/>
      </c>
      <c r="J107" s="51" t="str">
        <f>IF('Salesforce Dump'!I104&lt;&gt;"",'Salesforce Dump'!I104,"")</f>
        <v/>
      </c>
      <c r="K107" s="51" t="str">
        <f>IF('Salesforce Dump'!J104&lt;&gt;"",'Salesforce Dump'!J104,"")</f>
        <v/>
      </c>
      <c r="L107" s="52" t="str">
        <f>IFERROR(INDEX('OBA Dump'!C:C,MATCH($E107*1,'OBA Dump'!$A:$A,0)),"")</f>
        <v/>
      </c>
      <c r="M107" s="52" t="str">
        <f>IFERROR(INDEX('OBA Dump'!D:D,MATCH($E107*1,'OBA Dump'!$A:$A,0)),"")</f>
        <v/>
      </c>
      <c r="N107" s="52"/>
      <c r="O107" s="52"/>
      <c r="P107" s="53"/>
      <c r="Q107" s="52"/>
      <c r="R107" s="38" t="str">
        <f>_xlfn.IFNA(VLOOKUP(E107,'Pre-Booked Holidays'!A:B,2,0),"")</f>
        <v/>
      </c>
      <c r="S107" s="38" t="str">
        <f>IF(E107="","",IF(IFERROR(VLOOKUP(E107,'Onbase Report'!D:E,2,0),"")&lt;&gt;"","Details in Onbase","No Details"))</f>
        <v/>
      </c>
      <c r="T107" s="38" t="str">
        <f>IF(LEFT('Salesforce Dump'!Q104,5)="BHX10",LEFT('Salesforce Dump'!Q104,5),LEFT('Salesforce Dump'!Q104,4))</f>
        <v/>
      </c>
      <c r="U107" s="38"/>
    </row>
    <row r="108" spans="1:21" ht="14.5" x14ac:dyDescent="0.35">
      <c r="A108" s="47" t="str">
        <f>IF('Salesforce Dump'!A105&lt;&gt;"",'Salesforce Dump'!A105,"")</f>
        <v/>
      </c>
      <c r="B108" s="48"/>
      <c r="C108" s="49" t="str">
        <f>IF('Salesforce Dump'!B105&lt;&gt;"",'Salesforce Dump'!B105,"")</f>
        <v/>
      </c>
      <c r="D108" s="48"/>
      <c r="E108" s="50" t="str">
        <f>IF('Salesforce Dump'!C105&lt;&gt;"",'Salesforce Dump'!C105,"")</f>
        <v/>
      </c>
      <c r="F108" s="49" t="str">
        <f>IF('Salesforce Dump'!D105&lt;&gt;"",'Salesforce Dump'!D105,"")</f>
        <v/>
      </c>
      <c r="G108" s="49" t="str">
        <f>IF('Salesforce Dump'!E105&lt;&gt;"",'Salesforce Dump'!E105,"")</f>
        <v/>
      </c>
      <c r="H108" s="49" t="str">
        <f>IF('Salesforce Dump'!G105&lt;&gt;"",'Salesforce Dump'!G105,"")</f>
        <v/>
      </c>
      <c r="I108" s="49" t="str">
        <f>IF('Salesforce Dump'!H105&lt;&gt;"",'Salesforce Dump'!H105,"")</f>
        <v/>
      </c>
      <c r="J108" s="51" t="str">
        <f>IF('Salesforce Dump'!I105&lt;&gt;"",'Salesforce Dump'!I105,"")</f>
        <v/>
      </c>
      <c r="K108" s="51" t="str">
        <f>IF('Salesforce Dump'!J105&lt;&gt;"",'Salesforce Dump'!J105,"")</f>
        <v/>
      </c>
      <c r="L108" s="52" t="str">
        <f>IFERROR(INDEX('OBA Dump'!C:C,MATCH($E108*1,'OBA Dump'!$A:$A,0)),"")</f>
        <v/>
      </c>
      <c r="M108" s="52" t="str">
        <f>IFERROR(INDEX('OBA Dump'!D:D,MATCH($E108*1,'OBA Dump'!$A:$A,0)),"")</f>
        <v/>
      </c>
      <c r="N108" s="52"/>
      <c r="O108" s="52"/>
      <c r="P108" s="53"/>
      <c r="Q108" s="52"/>
      <c r="R108" s="38" t="str">
        <f>_xlfn.IFNA(VLOOKUP(E108,'Pre-Booked Holidays'!A:B,2,0),"")</f>
        <v/>
      </c>
      <c r="S108" s="38" t="str">
        <f>IF(E108="","",IF(IFERROR(VLOOKUP(E108,'Onbase Report'!D:E,2,0),"")&lt;&gt;"","Details in Onbase","No Details"))</f>
        <v/>
      </c>
      <c r="T108" s="38" t="str">
        <f>IF(LEFT('Salesforce Dump'!Q105,5)="BHX10",LEFT('Salesforce Dump'!Q105,5),LEFT('Salesforce Dump'!Q105,4))</f>
        <v/>
      </c>
      <c r="U108" s="38"/>
    </row>
    <row r="109" spans="1:21" ht="14.5" x14ac:dyDescent="0.35">
      <c r="A109" s="47" t="str">
        <f>IF('Salesforce Dump'!A106&lt;&gt;"",'Salesforce Dump'!A106,"")</f>
        <v/>
      </c>
      <c r="B109" s="48"/>
      <c r="C109" s="49" t="str">
        <f>IF('Salesforce Dump'!B106&lt;&gt;"",'Salesforce Dump'!B106,"")</f>
        <v/>
      </c>
      <c r="D109" s="48"/>
      <c r="E109" s="50" t="str">
        <f>IF('Salesforce Dump'!C106&lt;&gt;"",'Salesforce Dump'!C106,"")</f>
        <v/>
      </c>
      <c r="F109" s="49" t="str">
        <f>IF('Salesforce Dump'!D106&lt;&gt;"",'Salesforce Dump'!D106,"")</f>
        <v/>
      </c>
      <c r="G109" s="49" t="str">
        <f>IF('Salesforce Dump'!E106&lt;&gt;"",'Salesforce Dump'!E106,"")</f>
        <v/>
      </c>
      <c r="H109" s="49" t="str">
        <f>IF('Salesforce Dump'!G106&lt;&gt;"",'Salesforce Dump'!G106,"")</f>
        <v/>
      </c>
      <c r="I109" s="49" t="str">
        <f>IF('Salesforce Dump'!H106&lt;&gt;"",'Salesforce Dump'!H106,"")</f>
        <v/>
      </c>
      <c r="J109" s="51" t="str">
        <f>IF('Salesforce Dump'!I106&lt;&gt;"",'Salesforce Dump'!I106,"")</f>
        <v/>
      </c>
      <c r="K109" s="51" t="str">
        <f>IF('Salesforce Dump'!J106&lt;&gt;"",'Salesforce Dump'!J106,"")</f>
        <v/>
      </c>
      <c r="L109" s="52" t="str">
        <f>IFERROR(INDEX('OBA Dump'!C:C,MATCH($E109*1,'OBA Dump'!$A:$A,0)),"")</f>
        <v/>
      </c>
      <c r="M109" s="52" t="str">
        <f>IFERROR(INDEX('OBA Dump'!D:D,MATCH($E109*1,'OBA Dump'!$A:$A,0)),"")</f>
        <v/>
      </c>
      <c r="N109" s="52"/>
      <c r="O109" s="52"/>
      <c r="P109" s="53"/>
      <c r="Q109" s="52"/>
      <c r="R109" s="38" t="str">
        <f>_xlfn.IFNA(VLOOKUP(E109,'Pre-Booked Holidays'!A:B,2,0),"")</f>
        <v/>
      </c>
      <c r="S109" s="38" t="str">
        <f>IF(E109="","",IF(IFERROR(VLOOKUP(E109,'Onbase Report'!D:E,2,0),"")&lt;&gt;"","Details in Onbase","No Details"))</f>
        <v/>
      </c>
      <c r="T109" s="38" t="str">
        <f>IF(LEFT('Salesforce Dump'!Q106,5)="BHX10",LEFT('Salesforce Dump'!Q106,5),LEFT('Salesforce Dump'!Q106,4))</f>
        <v/>
      </c>
      <c r="U109" s="38"/>
    </row>
    <row r="110" spans="1:21" ht="14.5" x14ac:dyDescent="0.35">
      <c r="A110" s="47" t="str">
        <f>IF('Salesforce Dump'!A107&lt;&gt;"",'Salesforce Dump'!A107,"")</f>
        <v/>
      </c>
      <c r="B110" s="48"/>
      <c r="C110" s="49" t="str">
        <f>IF('Salesforce Dump'!B107&lt;&gt;"",'Salesforce Dump'!B107,"")</f>
        <v/>
      </c>
      <c r="D110" s="48"/>
      <c r="E110" s="50" t="str">
        <f>IF('Salesforce Dump'!C107&lt;&gt;"",'Salesforce Dump'!C107,"")</f>
        <v/>
      </c>
      <c r="F110" s="49" t="str">
        <f>IF('Salesforce Dump'!D107&lt;&gt;"",'Salesforce Dump'!D107,"")</f>
        <v/>
      </c>
      <c r="G110" s="49" t="str">
        <f>IF('Salesforce Dump'!E107&lt;&gt;"",'Salesforce Dump'!E107,"")</f>
        <v/>
      </c>
      <c r="H110" s="49" t="str">
        <f>IF('Salesforce Dump'!G107&lt;&gt;"",'Salesforce Dump'!G107,"")</f>
        <v/>
      </c>
      <c r="I110" s="49" t="str">
        <f>IF('Salesforce Dump'!H107&lt;&gt;"",'Salesforce Dump'!H107,"")</f>
        <v/>
      </c>
      <c r="J110" s="51" t="str">
        <f>IF('Salesforce Dump'!I107&lt;&gt;"",'Salesforce Dump'!I107,"")</f>
        <v/>
      </c>
      <c r="K110" s="51" t="str">
        <f>IF('Salesforce Dump'!J107&lt;&gt;"",'Salesforce Dump'!J107,"")</f>
        <v/>
      </c>
      <c r="L110" s="52" t="str">
        <f>IFERROR(INDEX('OBA Dump'!C:C,MATCH($E110*1,'OBA Dump'!$A:$A,0)),"")</f>
        <v/>
      </c>
      <c r="M110" s="52" t="str">
        <f>IFERROR(INDEX('OBA Dump'!D:D,MATCH($E110*1,'OBA Dump'!$A:$A,0)),"")</f>
        <v/>
      </c>
      <c r="N110" s="52"/>
      <c r="O110" s="52"/>
      <c r="P110" s="53"/>
      <c r="Q110" s="52"/>
      <c r="R110" s="38" t="str">
        <f>_xlfn.IFNA(VLOOKUP(E110,'Pre-Booked Holidays'!A:B,2,0),"")</f>
        <v/>
      </c>
      <c r="S110" s="38" t="str">
        <f>IF(E110="","",IF(IFERROR(VLOOKUP(E110,'Onbase Report'!D:E,2,0),"")&lt;&gt;"","Details in Onbase","No Details"))</f>
        <v/>
      </c>
      <c r="T110" s="38" t="str">
        <f>IF(LEFT('Salesforce Dump'!Q107,5)="BHX10",LEFT('Salesforce Dump'!Q107,5),LEFT('Salesforce Dump'!Q107,4))</f>
        <v/>
      </c>
      <c r="U110" s="38"/>
    </row>
    <row r="111" spans="1:21" ht="14.5" x14ac:dyDescent="0.35">
      <c r="A111" s="47" t="str">
        <f>IF('Salesforce Dump'!A108&lt;&gt;"",'Salesforce Dump'!A108,"")</f>
        <v/>
      </c>
      <c r="B111" s="48"/>
      <c r="C111" s="49" t="str">
        <f>IF('Salesforce Dump'!B108&lt;&gt;"",'Salesforce Dump'!B108,"")</f>
        <v/>
      </c>
      <c r="D111" s="48"/>
      <c r="E111" s="50" t="str">
        <f>IF('Salesforce Dump'!C108&lt;&gt;"",'Salesforce Dump'!C108,"")</f>
        <v/>
      </c>
      <c r="F111" s="49" t="str">
        <f>IF('Salesforce Dump'!D108&lt;&gt;"",'Salesforce Dump'!D108,"")</f>
        <v/>
      </c>
      <c r="G111" s="49" t="str">
        <f>IF('Salesforce Dump'!E108&lt;&gt;"",'Salesforce Dump'!E108,"")</f>
        <v/>
      </c>
      <c r="H111" s="49" t="str">
        <f>IF('Salesforce Dump'!G108&lt;&gt;"",'Salesforce Dump'!G108,"")</f>
        <v/>
      </c>
      <c r="I111" s="49" t="str">
        <f>IF('Salesforce Dump'!H108&lt;&gt;"",'Salesforce Dump'!H108,"")</f>
        <v/>
      </c>
      <c r="J111" s="51" t="str">
        <f>IF('Salesforce Dump'!I108&lt;&gt;"",'Salesforce Dump'!I108,"")</f>
        <v/>
      </c>
      <c r="K111" s="51" t="str">
        <f>IF('Salesforce Dump'!J108&lt;&gt;"",'Salesforce Dump'!J108,"")</f>
        <v/>
      </c>
      <c r="L111" s="52" t="str">
        <f>IFERROR(INDEX('OBA Dump'!C:C,MATCH($E111*1,'OBA Dump'!$A:$A,0)),"")</f>
        <v/>
      </c>
      <c r="M111" s="52" t="str">
        <f>IFERROR(INDEX('OBA Dump'!D:D,MATCH($E111*1,'OBA Dump'!$A:$A,0)),"")</f>
        <v/>
      </c>
      <c r="N111" s="52"/>
      <c r="O111" s="52"/>
      <c r="P111" s="53"/>
      <c r="Q111" s="52"/>
      <c r="R111" s="38" t="str">
        <f>_xlfn.IFNA(VLOOKUP(E111,'Pre-Booked Holidays'!A:B,2,0),"")</f>
        <v/>
      </c>
      <c r="S111" s="38" t="str">
        <f>IF(E111="","",IF(IFERROR(VLOOKUP(E111,'Onbase Report'!D:E,2,0),"")&lt;&gt;"","Details in Onbase","No Details"))</f>
        <v/>
      </c>
      <c r="T111" s="38" t="str">
        <f>IF(LEFT('Salesforce Dump'!Q108,5)="BHX10",LEFT('Salesforce Dump'!Q108,5),LEFT('Salesforce Dump'!Q108,4))</f>
        <v/>
      </c>
      <c r="U111" s="38"/>
    </row>
    <row r="112" spans="1:21" ht="14.5" x14ac:dyDescent="0.35">
      <c r="A112" s="47" t="str">
        <f>IF('Salesforce Dump'!A109&lt;&gt;"",'Salesforce Dump'!A109,"")</f>
        <v/>
      </c>
      <c r="B112" s="48"/>
      <c r="C112" s="49" t="str">
        <f>IF('Salesforce Dump'!B109&lt;&gt;"",'Salesforce Dump'!B109,"")</f>
        <v/>
      </c>
      <c r="D112" s="48"/>
      <c r="E112" s="50" t="str">
        <f>IF('Salesforce Dump'!C109&lt;&gt;"",'Salesforce Dump'!C109,"")</f>
        <v/>
      </c>
      <c r="F112" s="49" t="str">
        <f>IF('Salesforce Dump'!D109&lt;&gt;"",'Salesforce Dump'!D109,"")</f>
        <v/>
      </c>
      <c r="G112" s="49" t="str">
        <f>IF('Salesforce Dump'!E109&lt;&gt;"",'Salesforce Dump'!E109,"")</f>
        <v/>
      </c>
      <c r="H112" s="49" t="str">
        <f>IF('Salesforce Dump'!G109&lt;&gt;"",'Salesforce Dump'!G109,"")</f>
        <v/>
      </c>
      <c r="I112" s="49" t="str">
        <f>IF('Salesforce Dump'!H109&lt;&gt;"",'Salesforce Dump'!H109,"")</f>
        <v/>
      </c>
      <c r="J112" s="51" t="str">
        <f>IF('Salesforce Dump'!I109&lt;&gt;"",'Salesforce Dump'!I109,"")</f>
        <v/>
      </c>
      <c r="K112" s="51" t="str">
        <f>IF('Salesforce Dump'!J109&lt;&gt;"",'Salesforce Dump'!J109,"")</f>
        <v/>
      </c>
      <c r="L112" s="52" t="str">
        <f>IFERROR(INDEX('OBA Dump'!C:C,MATCH($E112*1,'OBA Dump'!$A:$A,0)),"")</f>
        <v/>
      </c>
      <c r="M112" s="52" t="str">
        <f>IFERROR(INDEX('OBA Dump'!D:D,MATCH($E112*1,'OBA Dump'!$A:$A,0)),"")</f>
        <v/>
      </c>
      <c r="N112" s="52"/>
      <c r="O112" s="52"/>
      <c r="P112" s="53"/>
      <c r="Q112" s="52"/>
      <c r="R112" s="38" t="str">
        <f>_xlfn.IFNA(VLOOKUP(E112,'Pre-Booked Holidays'!A:B,2,0),"")</f>
        <v/>
      </c>
      <c r="S112" s="38" t="str">
        <f>IF(E112="","",IF(IFERROR(VLOOKUP(E112,'Onbase Report'!D:E,2,0),"")&lt;&gt;"","Details in Onbase","No Details"))</f>
        <v/>
      </c>
      <c r="T112" s="38" t="str">
        <f>IF(LEFT('Salesforce Dump'!Q109,5)="BHX10",LEFT('Salesforce Dump'!Q109,5),LEFT('Salesforce Dump'!Q109,4))</f>
        <v/>
      </c>
      <c r="U112" s="38"/>
    </row>
    <row r="113" spans="1:21" ht="14.5" x14ac:dyDescent="0.35">
      <c r="A113" s="47" t="str">
        <f>IF('Salesforce Dump'!A110&lt;&gt;"",'Salesforce Dump'!A110,"")</f>
        <v/>
      </c>
      <c r="B113" s="48"/>
      <c r="C113" s="49" t="str">
        <f>IF('Salesforce Dump'!B110&lt;&gt;"",'Salesforce Dump'!B110,"")</f>
        <v/>
      </c>
      <c r="D113" s="48"/>
      <c r="E113" s="50" t="str">
        <f>IF('Salesforce Dump'!C110&lt;&gt;"",'Salesforce Dump'!C110,"")</f>
        <v/>
      </c>
      <c r="F113" s="49" t="str">
        <f>IF('Salesforce Dump'!D110&lt;&gt;"",'Salesforce Dump'!D110,"")</f>
        <v/>
      </c>
      <c r="G113" s="49" t="str">
        <f>IF('Salesforce Dump'!E110&lt;&gt;"",'Salesforce Dump'!E110,"")</f>
        <v/>
      </c>
      <c r="H113" s="49" t="str">
        <f>IF('Salesforce Dump'!G110&lt;&gt;"",'Salesforce Dump'!G110,"")</f>
        <v/>
      </c>
      <c r="I113" s="49" t="str">
        <f>IF('Salesforce Dump'!H110&lt;&gt;"",'Salesforce Dump'!H110,"")</f>
        <v/>
      </c>
      <c r="J113" s="51" t="str">
        <f>IF('Salesforce Dump'!I110&lt;&gt;"",'Salesforce Dump'!I110,"")</f>
        <v/>
      </c>
      <c r="K113" s="51" t="str">
        <f>IF('Salesforce Dump'!J110&lt;&gt;"",'Salesforce Dump'!J110,"")</f>
        <v/>
      </c>
      <c r="L113" s="52" t="str">
        <f>IFERROR(INDEX('OBA Dump'!C:C,MATCH($E113*1,'OBA Dump'!$A:$A,0)),"")</f>
        <v/>
      </c>
      <c r="M113" s="52" t="str">
        <f>IFERROR(INDEX('OBA Dump'!D:D,MATCH($E113*1,'OBA Dump'!$A:$A,0)),"")</f>
        <v/>
      </c>
      <c r="N113" s="52"/>
      <c r="O113" s="52"/>
      <c r="P113" s="53"/>
      <c r="Q113" s="52"/>
      <c r="R113" s="38" t="str">
        <f>_xlfn.IFNA(VLOOKUP(E113,'Pre-Booked Holidays'!A:B,2,0),"")</f>
        <v/>
      </c>
      <c r="S113" s="38" t="str">
        <f>IF(E113="","",IF(IFERROR(VLOOKUP(E113,'Onbase Report'!D:E,2,0),"")&lt;&gt;"","Details in Onbase","No Details"))</f>
        <v/>
      </c>
      <c r="T113" s="38" t="str">
        <f>IF(LEFT('Salesforce Dump'!Q110,5)="BHX10",LEFT('Salesforce Dump'!Q110,5),LEFT('Salesforce Dump'!Q110,4))</f>
        <v/>
      </c>
      <c r="U113" s="38"/>
    </row>
    <row r="114" spans="1:21" ht="14.5" x14ac:dyDescent="0.35">
      <c r="A114" s="47" t="str">
        <f>IF('Salesforce Dump'!A111&lt;&gt;"",'Salesforce Dump'!A111,"")</f>
        <v/>
      </c>
      <c r="B114" s="48"/>
      <c r="C114" s="49" t="str">
        <f>IF('Salesforce Dump'!B111&lt;&gt;"",'Salesforce Dump'!B111,"")</f>
        <v/>
      </c>
      <c r="D114" s="48"/>
      <c r="E114" s="50" t="str">
        <f>IF('Salesforce Dump'!C111&lt;&gt;"",'Salesforce Dump'!C111,"")</f>
        <v/>
      </c>
      <c r="F114" s="49" t="str">
        <f>IF('Salesforce Dump'!D111&lt;&gt;"",'Salesforce Dump'!D111,"")</f>
        <v/>
      </c>
      <c r="G114" s="49" t="str">
        <f>IF('Salesforce Dump'!E111&lt;&gt;"",'Salesforce Dump'!E111,"")</f>
        <v/>
      </c>
      <c r="H114" s="49" t="str">
        <f>IF('Salesforce Dump'!G111&lt;&gt;"",'Salesforce Dump'!G111,"")</f>
        <v/>
      </c>
      <c r="I114" s="49" t="str">
        <f>IF('Salesforce Dump'!H111&lt;&gt;"",'Salesforce Dump'!H111,"")</f>
        <v/>
      </c>
      <c r="J114" s="51" t="str">
        <f>IF('Salesforce Dump'!I111&lt;&gt;"",'Salesforce Dump'!I111,"")</f>
        <v/>
      </c>
      <c r="K114" s="51" t="str">
        <f>IF('Salesforce Dump'!J111&lt;&gt;"",'Salesforce Dump'!J111,"")</f>
        <v/>
      </c>
      <c r="L114" s="52" t="str">
        <f>IFERROR(INDEX('OBA Dump'!C:C,MATCH($E114*1,'OBA Dump'!$A:$A,0)),"")</f>
        <v/>
      </c>
      <c r="M114" s="52" t="str">
        <f>IFERROR(INDEX('OBA Dump'!D:D,MATCH($E114*1,'OBA Dump'!$A:$A,0)),"")</f>
        <v/>
      </c>
      <c r="N114" s="52"/>
      <c r="O114" s="52"/>
      <c r="P114" s="53"/>
      <c r="Q114" s="52"/>
      <c r="R114" s="38" t="str">
        <f>_xlfn.IFNA(VLOOKUP(E114,'Pre-Booked Holidays'!A:B,2,0),"")</f>
        <v/>
      </c>
      <c r="S114" s="38" t="str">
        <f>IF(E114="","",IF(IFERROR(VLOOKUP(E114,'Onbase Report'!D:E,2,0),"")&lt;&gt;"","Details in Onbase","No Details"))</f>
        <v/>
      </c>
      <c r="T114" s="38" t="str">
        <f>IF(LEFT('Salesforce Dump'!Q111,5)="BHX10",LEFT('Salesforce Dump'!Q111,5),LEFT('Salesforce Dump'!Q111,4))</f>
        <v/>
      </c>
      <c r="U114" s="38"/>
    </row>
    <row r="115" spans="1:21" ht="14.5" x14ac:dyDescent="0.35">
      <c r="A115" s="47" t="str">
        <f>IF('Salesforce Dump'!A112&lt;&gt;"",'Salesforce Dump'!A112,"")</f>
        <v/>
      </c>
      <c r="B115" s="48"/>
      <c r="C115" s="49" t="str">
        <f>IF('Salesforce Dump'!B112&lt;&gt;"",'Salesforce Dump'!B112,"")</f>
        <v/>
      </c>
      <c r="D115" s="48"/>
      <c r="E115" s="50" t="str">
        <f>IF('Salesforce Dump'!C112&lt;&gt;"",'Salesforce Dump'!C112,"")</f>
        <v/>
      </c>
      <c r="F115" s="49" t="str">
        <f>IF('Salesforce Dump'!D112&lt;&gt;"",'Salesforce Dump'!D112,"")</f>
        <v/>
      </c>
      <c r="G115" s="49" t="str">
        <f>IF('Salesforce Dump'!E112&lt;&gt;"",'Salesforce Dump'!E112,"")</f>
        <v/>
      </c>
      <c r="H115" s="49" t="str">
        <f>IF('Salesforce Dump'!G112&lt;&gt;"",'Salesforce Dump'!G112,"")</f>
        <v/>
      </c>
      <c r="I115" s="49" t="str">
        <f>IF('Salesforce Dump'!H112&lt;&gt;"",'Salesforce Dump'!H112,"")</f>
        <v/>
      </c>
      <c r="J115" s="51" t="str">
        <f>IF('Salesforce Dump'!I112&lt;&gt;"",'Salesforce Dump'!I112,"")</f>
        <v/>
      </c>
      <c r="K115" s="51" t="str">
        <f>IF('Salesforce Dump'!J112&lt;&gt;"",'Salesforce Dump'!J112,"")</f>
        <v/>
      </c>
      <c r="L115" s="52" t="str">
        <f>IFERROR(INDEX('OBA Dump'!C:C,MATCH($E115*1,'OBA Dump'!$A:$A,0)),"")</f>
        <v/>
      </c>
      <c r="M115" s="52" t="str">
        <f>IFERROR(INDEX('OBA Dump'!D:D,MATCH($E115*1,'OBA Dump'!$A:$A,0)),"")</f>
        <v/>
      </c>
      <c r="N115" s="52"/>
      <c r="O115" s="52"/>
      <c r="P115" s="53"/>
      <c r="Q115" s="52"/>
      <c r="R115" s="38" t="str">
        <f>_xlfn.IFNA(VLOOKUP(E115,'Pre-Booked Holidays'!A:B,2,0),"")</f>
        <v/>
      </c>
      <c r="S115" s="38" t="str">
        <f>IF(E115="","",IF(IFERROR(VLOOKUP(E115,'Onbase Report'!D:E,2,0),"")&lt;&gt;"","Details in Onbase","No Details"))</f>
        <v/>
      </c>
      <c r="T115" s="38" t="str">
        <f>IF(LEFT('Salesforce Dump'!Q112,5)="BHX10",LEFT('Salesforce Dump'!Q112,5),LEFT('Salesforce Dump'!Q112,4))</f>
        <v/>
      </c>
      <c r="U115" s="38"/>
    </row>
    <row r="116" spans="1:21" ht="14.5" x14ac:dyDescent="0.35">
      <c r="A116" s="47" t="str">
        <f>IF('Salesforce Dump'!A113&lt;&gt;"",'Salesforce Dump'!A113,"")</f>
        <v/>
      </c>
      <c r="B116" s="48"/>
      <c r="C116" s="49" t="str">
        <f>IF('Salesforce Dump'!B113&lt;&gt;"",'Salesforce Dump'!B113,"")</f>
        <v/>
      </c>
      <c r="D116" s="48"/>
      <c r="E116" s="50" t="str">
        <f>IF('Salesforce Dump'!C113&lt;&gt;"",'Salesforce Dump'!C113,"")</f>
        <v/>
      </c>
      <c r="F116" s="49" t="str">
        <f>IF('Salesforce Dump'!D113&lt;&gt;"",'Salesforce Dump'!D113,"")</f>
        <v/>
      </c>
      <c r="G116" s="49" t="str">
        <f>IF('Salesforce Dump'!E113&lt;&gt;"",'Salesforce Dump'!E113,"")</f>
        <v/>
      </c>
      <c r="H116" s="49" t="str">
        <f>IF('Salesforce Dump'!G113&lt;&gt;"",'Salesforce Dump'!G113,"")</f>
        <v/>
      </c>
      <c r="I116" s="49" t="str">
        <f>IF('Salesforce Dump'!H113&lt;&gt;"",'Salesforce Dump'!H113,"")</f>
        <v/>
      </c>
      <c r="J116" s="51" t="str">
        <f>IF('Salesforce Dump'!I113&lt;&gt;"",'Salesforce Dump'!I113,"")</f>
        <v/>
      </c>
      <c r="K116" s="51" t="str">
        <f>IF('Salesforce Dump'!J113&lt;&gt;"",'Salesforce Dump'!J113,"")</f>
        <v/>
      </c>
      <c r="L116" s="52" t="str">
        <f>IFERROR(INDEX('OBA Dump'!C:C,MATCH($E116*1,'OBA Dump'!$A:$A,0)),"")</f>
        <v/>
      </c>
      <c r="M116" s="52" t="str">
        <f>IFERROR(INDEX('OBA Dump'!D:D,MATCH($E116*1,'OBA Dump'!$A:$A,0)),"")</f>
        <v/>
      </c>
      <c r="N116" s="52"/>
      <c r="O116" s="52"/>
      <c r="P116" s="53"/>
      <c r="Q116" s="52"/>
      <c r="R116" s="38" t="str">
        <f>_xlfn.IFNA(VLOOKUP(E116,'Pre-Booked Holidays'!A:B,2,0),"")</f>
        <v/>
      </c>
      <c r="S116" s="38" t="str">
        <f>IF(E116="","",IF(IFERROR(VLOOKUP(E116,'Onbase Report'!D:E,2,0),"")&lt;&gt;"","Details in Onbase","No Details"))</f>
        <v/>
      </c>
      <c r="T116" s="38" t="str">
        <f>IF(LEFT('Salesforce Dump'!Q113,5)="BHX10",LEFT('Salesforce Dump'!Q113,5),LEFT('Salesforce Dump'!Q113,4))</f>
        <v/>
      </c>
      <c r="U116" s="38"/>
    </row>
    <row r="117" spans="1:21" ht="14.5" x14ac:dyDescent="0.35">
      <c r="A117" s="47" t="str">
        <f>IF('Salesforce Dump'!A114&lt;&gt;"",'Salesforce Dump'!A114,"")</f>
        <v/>
      </c>
      <c r="B117" s="48"/>
      <c r="C117" s="49" t="str">
        <f>IF('Salesforce Dump'!B114&lt;&gt;"",'Salesforce Dump'!B114,"")</f>
        <v/>
      </c>
      <c r="D117" s="48"/>
      <c r="E117" s="50" t="str">
        <f>IF('Salesforce Dump'!C114&lt;&gt;"",'Salesforce Dump'!C114,"")</f>
        <v/>
      </c>
      <c r="F117" s="49" t="str">
        <f>IF('Salesforce Dump'!D114&lt;&gt;"",'Salesforce Dump'!D114,"")</f>
        <v/>
      </c>
      <c r="G117" s="49" t="str">
        <f>IF('Salesforce Dump'!E114&lt;&gt;"",'Salesforce Dump'!E114,"")</f>
        <v/>
      </c>
      <c r="H117" s="49" t="str">
        <f>IF('Salesforce Dump'!G114&lt;&gt;"",'Salesforce Dump'!G114,"")</f>
        <v/>
      </c>
      <c r="I117" s="49" t="str">
        <f>IF('Salesforce Dump'!H114&lt;&gt;"",'Salesforce Dump'!H114,"")</f>
        <v/>
      </c>
      <c r="J117" s="51" t="str">
        <f>IF('Salesforce Dump'!I114&lt;&gt;"",'Salesforce Dump'!I114,"")</f>
        <v/>
      </c>
      <c r="K117" s="51" t="str">
        <f>IF('Salesforce Dump'!J114&lt;&gt;"",'Salesforce Dump'!J114,"")</f>
        <v/>
      </c>
      <c r="L117" s="52" t="str">
        <f>IFERROR(INDEX('OBA Dump'!C:C,MATCH($E117*1,'OBA Dump'!$A:$A,0)),"")</f>
        <v/>
      </c>
      <c r="M117" s="52" t="str">
        <f>IFERROR(INDEX('OBA Dump'!D:D,MATCH($E117*1,'OBA Dump'!$A:$A,0)),"")</f>
        <v/>
      </c>
      <c r="N117" s="52"/>
      <c r="O117" s="52"/>
      <c r="P117" s="53"/>
      <c r="Q117" s="52"/>
      <c r="R117" s="38" t="str">
        <f>_xlfn.IFNA(VLOOKUP(E117,'Pre-Booked Holidays'!A:B,2,0),"")</f>
        <v/>
      </c>
      <c r="S117" s="38" t="str">
        <f>IF(E117="","",IF(IFERROR(VLOOKUP(E117,'Onbase Report'!D:E,2,0),"")&lt;&gt;"","Details in Onbase","No Details"))</f>
        <v/>
      </c>
      <c r="T117" s="38" t="str">
        <f>IF(LEFT('Salesforce Dump'!Q114,5)="BHX10",LEFT('Salesforce Dump'!Q114,5),LEFT('Salesforce Dump'!Q114,4))</f>
        <v/>
      </c>
      <c r="U117" s="38"/>
    </row>
    <row r="118" spans="1:21" ht="14.5" x14ac:dyDescent="0.35">
      <c r="A118" s="47" t="str">
        <f>IF('Salesforce Dump'!A115&lt;&gt;"",'Salesforce Dump'!A115,"")</f>
        <v/>
      </c>
      <c r="B118" s="48"/>
      <c r="C118" s="49" t="str">
        <f>IF('Salesforce Dump'!B115&lt;&gt;"",'Salesforce Dump'!B115,"")</f>
        <v/>
      </c>
      <c r="D118" s="48"/>
      <c r="E118" s="50" t="str">
        <f>IF('Salesforce Dump'!C115&lt;&gt;"",'Salesforce Dump'!C115,"")</f>
        <v/>
      </c>
      <c r="F118" s="49" t="str">
        <f>IF('Salesforce Dump'!D115&lt;&gt;"",'Salesforce Dump'!D115,"")</f>
        <v/>
      </c>
      <c r="G118" s="49" t="str">
        <f>IF('Salesforce Dump'!E115&lt;&gt;"",'Salesforce Dump'!E115,"")</f>
        <v/>
      </c>
      <c r="H118" s="49" t="str">
        <f>IF('Salesforce Dump'!G115&lt;&gt;"",'Salesforce Dump'!G115,"")</f>
        <v/>
      </c>
      <c r="I118" s="49" t="str">
        <f>IF('Salesforce Dump'!H115&lt;&gt;"",'Salesforce Dump'!H115,"")</f>
        <v/>
      </c>
      <c r="J118" s="51" t="str">
        <f>IF('Salesforce Dump'!I115&lt;&gt;"",'Salesforce Dump'!I115,"")</f>
        <v/>
      </c>
      <c r="K118" s="51" t="str">
        <f>IF('Salesforce Dump'!J115&lt;&gt;"",'Salesforce Dump'!J115,"")</f>
        <v/>
      </c>
      <c r="L118" s="52" t="str">
        <f>IFERROR(INDEX('OBA Dump'!C:C,MATCH($E118*1,'OBA Dump'!$A:$A,0)),"")</f>
        <v/>
      </c>
      <c r="M118" s="52" t="str">
        <f>IFERROR(INDEX('OBA Dump'!D:D,MATCH($E118*1,'OBA Dump'!$A:$A,0)),"")</f>
        <v/>
      </c>
      <c r="N118" s="52"/>
      <c r="O118" s="52"/>
      <c r="P118" s="53"/>
      <c r="Q118" s="52"/>
      <c r="R118" s="38" t="str">
        <f>_xlfn.IFNA(VLOOKUP(E118,'Pre-Booked Holidays'!A:B,2,0),"")</f>
        <v/>
      </c>
      <c r="S118" s="38" t="str">
        <f>IF(E118="","",IF(IFERROR(VLOOKUP(E118,'Onbase Report'!D:E,2,0),"")&lt;&gt;"","Details in Onbase","No Details"))</f>
        <v/>
      </c>
      <c r="T118" s="38" t="str">
        <f>IF(LEFT('Salesforce Dump'!Q115,5)="BHX10",LEFT('Salesforce Dump'!Q115,5),LEFT('Salesforce Dump'!Q115,4))</f>
        <v/>
      </c>
      <c r="U118" s="38"/>
    </row>
    <row r="119" spans="1:21" ht="14.5" x14ac:dyDescent="0.35">
      <c r="A119" s="47" t="str">
        <f>IF('Salesforce Dump'!A116&lt;&gt;"",'Salesforce Dump'!A116,"")</f>
        <v/>
      </c>
      <c r="B119" s="48"/>
      <c r="C119" s="49" t="str">
        <f>IF('Salesforce Dump'!B116&lt;&gt;"",'Salesforce Dump'!B116,"")</f>
        <v/>
      </c>
      <c r="D119" s="48"/>
      <c r="E119" s="50" t="str">
        <f>IF('Salesforce Dump'!C116&lt;&gt;"",'Salesforce Dump'!C116,"")</f>
        <v/>
      </c>
      <c r="F119" s="49" t="str">
        <f>IF('Salesforce Dump'!D116&lt;&gt;"",'Salesforce Dump'!D116,"")</f>
        <v/>
      </c>
      <c r="G119" s="49" t="str">
        <f>IF('Salesforce Dump'!E116&lt;&gt;"",'Salesforce Dump'!E116,"")</f>
        <v/>
      </c>
      <c r="H119" s="49" t="str">
        <f>IF('Salesforce Dump'!G116&lt;&gt;"",'Salesforce Dump'!G116,"")</f>
        <v/>
      </c>
      <c r="I119" s="49" t="str">
        <f>IF('Salesforce Dump'!H116&lt;&gt;"",'Salesforce Dump'!H116,"")</f>
        <v/>
      </c>
      <c r="J119" s="51" t="str">
        <f>IF('Salesforce Dump'!I116&lt;&gt;"",'Salesforce Dump'!I116,"")</f>
        <v/>
      </c>
      <c r="K119" s="51" t="str">
        <f>IF('Salesforce Dump'!J116&lt;&gt;"",'Salesforce Dump'!J116,"")</f>
        <v/>
      </c>
      <c r="L119" s="52" t="str">
        <f>IFERROR(INDEX('OBA Dump'!C:C,MATCH($E119*1,'OBA Dump'!$A:$A,0)),"")</f>
        <v/>
      </c>
      <c r="M119" s="52" t="str">
        <f>IFERROR(INDEX('OBA Dump'!D:D,MATCH($E119*1,'OBA Dump'!$A:$A,0)),"")</f>
        <v/>
      </c>
      <c r="N119" s="52"/>
      <c r="O119" s="52"/>
      <c r="P119" s="53"/>
      <c r="Q119" s="52"/>
      <c r="R119" s="38" t="str">
        <f>_xlfn.IFNA(VLOOKUP(E119,'Pre-Booked Holidays'!A:B,2,0),"")</f>
        <v/>
      </c>
      <c r="S119" s="38" t="str">
        <f>IF(E119="","",IF(IFERROR(VLOOKUP(E119,'Onbase Report'!D:E,2,0),"")&lt;&gt;"","Details in Onbase","No Details"))</f>
        <v/>
      </c>
      <c r="T119" s="38" t="str">
        <f>IF(LEFT('Salesforce Dump'!Q116,5)="BHX10",LEFT('Salesforce Dump'!Q116,5),LEFT('Salesforce Dump'!Q116,4))</f>
        <v/>
      </c>
      <c r="U119" s="38"/>
    </row>
    <row r="120" spans="1:21" ht="14.5" x14ac:dyDescent="0.35">
      <c r="A120" s="47" t="str">
        <f>IF('Salesforce Dump'!A117&lt;&gt;"",'Salesforce Dump'!A117,"")</f>
        <v/>
      </c>
      <c r="B120" s="48"/>
      <c r="C120" s="49" t="str">
        <f>IF('Salesforce Dump'!B117&lt;&gt;"",'Salesforce Dump'!B117,"")</f>
        <v/>
      </c>
      <c r="D120" s="48"/>
      <c r="E120" s="50" t="str">
        <f>IF('Salesforce Dump'!C117&lt;&gt;"",'Salesforce Dump'!C117,"")</f>
        <v/>
      </c>
      <c r="F120" s="49" t="str">
        <f>IF('Salesforce Dump'!D117&lt;&gt;"",'Salesforce Dump'!D117,"")</f>
        <v/>
      </c>
      <c r="G120" s="49" t="str">
        <f>IF('Salesforce Dump'!E117&lt;&gt;"",'Salesforce Dump'!E117,"")</f>
        <v/>
      </c>
      <c r="H120" s="49" t="str">
        <f>IF('Salesforce Dump'!G117&lt;&gt;"",'Salesforce Dump'!G117,"")</f>
        <v/>
      </c>
      <c r="I120" s="49" t="str">
        <f>IF('Salesforce Dump'!H117&lt;&gt;"",'Salesforce Dump'!H117,"")</f>
        <v/>
      </c>
      <c r="J120" s="51" t="str">
        <f>IF('Salesforce Dump'!I117&lt;&gt;"",'Salesforce Dump'!I117,"")</f>
        <v/>
      </c>
      <c r="K120" s="51" t="str">
        <f>IF('Salesforce Dump'!J117&lt;&gt;"",'Salesforce Dump'!J117,"")</f>
        <v/>
      </c>
      <c r="L120" s="52" t="str">
        <f>IFERROR(INDEX('OBA Dump'!C:C,MATCH($E120*1,'OBA Dump'!$A:$A,0)),"")</f>
        <v/>
      </c>
      <c r="M120" s="52" t="str">
        <f>IFERROR(INDEX('OBA Dump'!D:D,MATCH($E120*1,'OBA Dump'!$A:$A,0)),"")</f>
        <v/>
      </c>
      <c r="N120" s="52"/>
      <c r="O120" s="52"/>
      <c r="P120" s="53"/>
      <c r="Q120" s="52"/>
      <c r="R120" s="38" t="str">
        <f>_xlfn.IFNA(VLOOKUP(E120,'Pre-Booked Holidays'!A:B,2,0),"")</f>
        <v/>
      </c>
      <c r="S120" s="38" t="str">
        <f>IF(E120="","",IF(IFERROR(VLOOKUP(E120,'Onbase Report'!D:E,2,0),"")&lt;&gt;"","Details in Onbase","No Details"))</f>
        <v/>
      </c>
      <c r="T120" s="38" t="str">
        <f>IF(LEFT('Salesforce Dump'!Q117,5)="BHX10",LEFT('Salesforce Dump'!Q117,5),LEFT('Salesforce Dump'!Q117,4))</f>
        <v/>
      </c>
      <c r="U120" s="38"/>
    </row>
    <row r="121" spans="1:21" ht="14.5" x14ac:dyDescent="0.35">
      <c r="A121" s="47" t="str">
        <f>IF('Salesforce Dump'!A118&lt;&gt;"",'Salesforce Dump'!A118,"")</f>
        <v/>
      </c>
      <c r="B121" s="48"/>
      <c r="C121" s="49" t="str">
        <f>IF('Salesforce Dump'!B118&lt;&gt;"",'Salesforce Dump'!B118,"")</f>
        <v/>
      </c>
      <c r="D121" s="48"/>
      <c r="E121" s="50" t="str">
        <f>IF('Salesforce Dump'!C118&lt;&gt;"",'Salesforce Dump'!C118,"")</f>
        <v/>
      </c>
      <c r="F121" s="49" t="str">
        <f>IF('Salesforce Dump'!D118&lt;&gt;"",'Salesforce Dump'!D118,"")</f>
        <v/>
      </c>
      <c r="G121" s="49" t="str">
        <f>IF('Salesforce Dump'!E118&lt;&gt;"",'Salesforce Dump'!E118,"")</f>
        <v/>
      </c>
      <c r="H121" s="49" t="str">
        <f>IF('Salesforce Dump'!G118&lt;&gt;"",'Salesforce Dump'!G118,"")</f>
        <v/>
      </c>
      <c r="I121" s="49" t="str">
        <f>IF('Salesforce Dump'!H118&lt;&gt;"",'Salesforce Dump'!H118,"")</f>
        <v/>
      </c>
      <c r="J121" s="51" t="str">
        <f>IF('Salesforce Dump'!I118&lt;&gt;"",'Salesforce Dump'!I118,"")</f>
        <v/>
      </c>
      <c r="K121" s="51" t="str">
        <f>IF('Salesforce Dump'!J118&lt;&gt;"",'Salesforce Dump'!J118,"")</f>
        <v/>
      </c>
      <c r="L121" s="52" t="str">
        <f>IFERROR(INDEX('OBA Dump'!C:C,MATCH($E121*1,'OBA Dump'!$A:$A,0)),"")</f>
        <v/>
      </c>
      <c r="M121" s="52" t="str">
        <f>IFERROR(INDEX('OBA Dump'!D:D,MATCH($E121*1,'OBA Dump'!$A:$A,0)),"")</f>
        <v/>
      </c>
      <c r="N121" s="52"/>
      <c r="O121" s="52"/>
      <c r="P121" s="53"/>
      <c r="Q121" s="52"/>
      <c r="R121" s="38" t="str">
        <f>_xlfn.IFNA(VLOOKUP(E121,'Pre-Booked Holidays'!A:B,2,0),"")</f>
        <v/>
      </c>
      <c r="S121" s="38" t="str">
        <f>IF(E121="","",IF(IFERROR(VLOOKUP(E121,'Onbase Report'!D:E,2,0),"")&lt;&gt;"","Details in Onbase","No Details"))</f>
        <v/>
      </c>
      <c r="T121" s="38" t="str">
        <f>IF(LEFT('Salesforce Dump'!Q118,5)="BHX10",LEFT('Salesforce Dump'!Q118,5),LEFT('Salesforce Dump'!Q118,4))</f>
        <v/>
      </c>
      <c r="U121" s="38"/>
    </row>
    <row r="122" spans="1:21" ht="14.5" x14ac:dyDescent="0.35">
      <c r="A122" s="47" t="str">
        <f>IF('Salesforce Dump'!A119&lt;&gt;"",'Salesforce Dump'!A119,"")</f>
        <v/>
      </c>
      <c r="B122" s="48"/>
      <c r="C122" s="49" t="str">
        <f>IF('Salesforce Dump'!B119&lt;&gt;"",'Salesforce Dump'!B119,"")</f>
        <v/>
      </c>
      <c r="D122" s="48"/>
      <c r="E122" s="50" t="str">
        <f>IF('Salesforce Dump'!C119&lt;&gt;"",'Salesforce Dump'!C119,"")</f>
        <v/>
      </c>
      <c r="F122" s="49" t="str">
        <f>IF('Salesforce Dump'!D119&lt;&gt;"",'Salesforce Dump'!D119,"")</f>
        <v/>
      </c>
      <c r="G122" s="49" t="str">
        <f>IF('Salesforce Dump'!E119&lt;&gt;"",'Salesforce Dump'!E119,"")</f>
        <v/>
      </c>
      <c r="H122" s="49" t="str">
        <f>IF('Salesforce Dump'!G119&lt;&gt;"",'Salesforce Dump'!G119,"")</f>
        <v/>
      </c>
      <c r="I122" s="49" t="str">
        <f>IF('Salesforce Dump'!H119&lt;&gt;"",'Salesforce Dump'!H119,"")</f>
        <v/>
      </c>
      <c r="J122" s="51" t="str">
        <f>IF('Salesforce Dump'!I119&lt;&gt;"",'Salesforce Dump'!I119,"")</f>
        <v/>
      </c>
      <c r="K122" s="51" t="str">
        <f>IF('Salesforce Dump'!J119&lt;&gt;"",'Salesforce Dump'!J119,"")</f>
        <v/>
      </c>
      <c r="L122" s="52" t="str">
        <f>IFERROR(INDEX('OBA Dump'!C:C,MATCH($E122*1,'OBA Dump'!$A:$A,0)),"")</f>
        <v/>
      </c>
      <c r="M122" s="52" t="str">
        <f>IFERROR(INDEX('OBA Dump'!D:D,MATCH($E122*1,'OBA Dump'!$A:$A,0)),"")</f>
        <v/>
      </c>
      <c r="N122" s="52"/>
      <c r="O122" s="52"/>
      <c r="P122" s="53"/>
      <c r="Q122" s="52"/>
      <c r="R122" s="38" t="str">
        <f>_xlfn.IFNA(VLOOKUP(E122,'Pre-Booked Holidays'!A:B,2,0),"")</f>
        <v/>
      </c>
      <c r="S122" s="38" t="str">
        <f>IF(E122="","",IF(IFERROR(VLOOKUP(E122,'Onbase Report'!D:E,2,0),"")&lt;&gt;"","Details in Onbase","No Details"))</f>
        <v/>
      </c>
      <c r="T122" s="38" t="str">
        <f>IF(LEFT('Salesforce Dump'!Q119,5)="BHX10",LEFT('Salesforce Dump'!Q119,5),LEFT('Salesforce Dump'!Q119,4))</f>
        <v/>
      </c>
      <c r="U122" s="38"/>
    </row>
    <row r="123" spans="1:21" ht="14.5" x14ac:dyDescent="0.35">
      <c r="A123" s="47" t="str">
        <f>IF('Salesforce Dump'!A120&lt;&gt;"",'Salesforce Dump'!A120,"")</f>
        <v/>
      </c>
      <c r="B123" s="48"/>
      <c r="C123" s="49" t="str">
        <f>IF('Salesforce Dump'!B120&lt;&gt;"",'Salesforce Dump'!B120,"")</f>
        <v/>
      </c>
      <c r="D123" s="48"/>
      <c r="E123" s="50" t="str">
        <f>IF('Salesforce Dump'!C120&lt;&gt;"",'Salesforce Dump'!C120,"")</f>
        <v/>
      </c>
      <c r="F123" s="49" t="str">
        <f>IF('Salesforce Dump'!D120&lt;&gt;"",'Salesforce Dump'!D120,"")</f>
        <v/>
      </c>
      <c r="G123" s="49" t="str">
        <f>IF('Salesforce Dump'!E120&lt;&gt;"",'Salesforce Dump'!E120,"")</f>
        <v/>
      </c>
      <c r="H123" s="49" t="str">
        <f>IF('Salesforce Dump'!G120&lt;&gt;"",'Salesforce Dump'!G120,"")</f>
        <v/>
      </c>
      <c r="I123" s="49" t="str">
        <f>IF('Salesforce Dump'!H120&lt;&gt;"",'Salesforce Dump'!H120,"")</f>
        <v/>
      </c>
      <c r="J123" s="51" t="str">
        <f>IF('Salesforce Dump'!I120&lt;&gt;"",'Salesforce Dump'!I120,"")</f>
        <v/>
      </c>
      <c r="K123" s="51" t="str">
        <f>IF('Salesforce Dump'!J120&lt;&gt;"",'Salesforce Dump'!J120,"")</f>
        <v/>
      </c>
      <c r="L123" s="52" t="str">
        <f>IFERROR(INDEX('OBA Dump'!C:C,MATCH($E123*1,'OBA Dump'!$A:$A,0)),"")</f>
        <v/>
      </c>
      <c r="M123" s="52" t="str">
        <f>IFERROR(INDEX('OBA Dump'!D:D,MATCH($E123*1,'OBA Dump'!$A:$A,0)),"")</f>
        <v/>
      </c>
      <c r="N123" s="52"/>
      <c r="O123" s="52"/>
      <c r="P123" s="53"/>
      <c r="Q123" s="52"/>
      <c r="R123" s="38" t="str">
        <f>_xlfn.IFNA(VLOOKUP(E123,'Pre-Booked Holidays'!A:B,2,0),"")</f>
        <v/>
      </c>
      <c r="S123" s="38" t="str">
        <f>IF(E123="","",IF(IFERROR(VLOOKUP(E123,'Onbase Report'!D:E,2,0),"")&lt;&gt;"","Details in Onbase","No Details"))</f>
        <v/>
      </c>
      <c r="T123" s="38" t="str">
        <f>IF(LEFT('Salesforce Dump'!Q120,5)="BHX10",LEFT('Salesforce Dump'!Q120,5),LEFT('Salesforce Dump'!Q120,4))</f>
        <v/>
      </c>
      <c r="U123" s="38"/>
    </row>
    <row r="124" spans="1:21" ht="14.5" x14ac:dyDescent="0.35">
      <c r="A124" s="47" t="str">
        <f>IF('Salesforce Dump'!A121&lt;&gt;"",'Salesforce Dump'!A121,"")</f>
        <v/>
      </c>
      <c r="B124" s="48"/>
      <c r="C124" s="49" t="str">
        <f>IF('Salesforce Dump'!B121&lt;&gt;"",'Salesforce Dump'!B121,"")</f>
        <v/>
      </c>
      <c r="D124" s="48"/>
      <c r="E124" s="50" t="str">
        <f>IF('Salesforce Dump'!C121&lt;&gt;"",'Salesforce Dump'!C121,"")</f>
        <v/>
      </c>
      <c r="F124" s="49" t="str">
        <f>IF('Salesforce Dump'!D121&lt;&gt;"",'Salesforce Dump'!D121,"")</f>
        <v/>
      </c>
      <c r="G124" s="49" t="str">
        <f>IF('Salesforce Dump'!E121&lt;&gt;"",'Salesforce Dump'!E121,"")</f>
        <v/>
      </c>
      <c r="H124" s="49" t="str">
        <f>IF('Salesforce Dump'!G121&lt;&gt;"",'Salesforce Dump'!G121,"")</f>
        <v/>
      </c>
      <c r="I124" s="49" t="str">
        <f>IF('Salesforce Dump'!H121&lt;&gt;"",'Salesforce Dump'!H121,"")</f>
        <v/>
      </c>
      <c r="J124" s="51" t="str">
        <f>IF('Salesforce Dump'!I121&lt;&gt;"",'Salesforce Dump'!I121,"")</f>
        <v/>
      </c>
      <c r="K124" s="51" t="str">
        <f>IF('Salesforce Dump'!J121&lt;&gt;"",'Salesforce Dump'!J121,"")</f>
        <v/>
      </c>
      <c r="L124" s="52" t="str">
        <f>IFERROR(INDEX('OBA Dump'!C:C,MATCH($E124*1,'OBA Dump'!$A:$A,0)),"")</f>
        <v/>
      </c>
      <c r="M124" s="52" t="str">
        <f>IFERROR(INDEX('OBA Dump'!D:D,MATCH($E124*1,'OBA Dump'!$A:$A,0)),"")</f>
        <v/>
      </c>
      <c r="N124" s="52"/>
      <c r="O124" s="52"/>
      <c r="P124" s="53"/>
      <c r="Q124" s="52"/>
      <c r="R124" s="38" t="str">
        <f>_xlfn.IFNA(VLOOKUP(E124,'Pre-Booked Holidays'!A:B,2,0),"")</f>
        <v/>
      </c>
      <c r="S124" s="38" t="str">
        <f>IF(E124="","",IF(IFERROR(VLOOKUP(E124,'Onbase Report'!D:E,2,0),"")&lt;&gt;"","Details in Onbase","No Details"))</f>
        <v/>
      </c>
      <c r="T124" s="38" t="str">
        <f>IF(LEFT('Salesforce Dump'!Q121,5)="BHX10",LEFT('Salesforce Dump'!Q121,5),LEFT('Salesforce Dump'!Q121,4))</f>
        <v/>
      </c>
      <c r="U124" s="38"/>
    </row>
    <row r="125" spans="1:21" ht="14.5" x14ac:dyDescent="0.35">
      <c r="A125" s="47" t="str">
        <f>IF('Salesforce Dump'!A122&lt;&gt;"",'Salesforce Dump'!A122,"")</f>
        <v/>
      </c>
      <c r="B125" s="48"/>
      <c r="C125" s="49" t="str">
        <f>IF('Salesforce Dump'!B122&lt;&gt;"",'Salesforce Dump'!B122,"")</f>
        <v/>
      </c>
      <c r="D125" s="48"/>
      <c r="E125" s="50" t="str">
        <f>IF('Salesforce Dump'!C122&lt;&gt;"",'Salesforce Dump'!C122,"")</f>
        <v/>
      </c>
      <c r="F125" s="49" t="str">
        <f>IF('Salesforce Dump'!D122&lt;&gt;"",'Salesforce Dump'!D122,"")</f>
        <v/>
      </c>
      <c r="G125" s="49" t="str">
        <f>IF('Salesforce Dump'!E122&lt;&gt;"",'Salesforce Dump'!E122,"")</f>
        <v/>
      </c>
      <c r="H125" s="49" t="str">
        <f>IF('Salesforce Dump'!G122&lt;&gt;"",'Salesforce Dump'!G122,"")</f>
        <v/>
      </c>
      <c r="I125" s="49" t="str">
        <f>IF('Salesforce Dump'!H122&lt;&gt;"",'Salesforce Dump'!H122,"")</f>
        <v/>
      </c>
      <c r="J125" s="51" t="str">
        <f>IF('Salesforce Dump'!I122&lt;&gt;"",'Salesforce Dump'!I122,"")</f>
        <v/>
      </c>
      <c r="K125" s="51" t="str">
        <f>IF('Salesforce Dump'!J122&lt;&gt;"",'Salesforce Dump'!J122,"")</f>
        <v/>
      </c>
      <c r="L125" s="52" t="str">
        <f>IFERROR(INDEX('OBA Dump'!C:C,MATCH($E125*1,'OBA Dump'!$A:$A,0)),"")</f>
        <v/>
      </c>
      <c r="M125" s="52" t="str">
        <f>IFERROR(INDEX('OBA Dump'!D:D,MATCH($E125*1,'OBA Dump'!$A:$A,0)),"")</f>
        <v/>
      </c>
      <c r="N125" s="52"/>
      <c r="O125" s="52"/>
      <c r="P125" s="53"/>
      <c r="Q125" s="52"/>
      <c r="R125" s="38" t="str">
        <f>_xlfn.IFNA(VLOOKUP(E125,'Pre-Booked Holidays'!A:B,2,0),"")</f>
        <v/>
      </c>
      <c r="S125" s="38" t="str">
        <f>IF(E125="","",IF(IFERROR(VLOOKUP(E125,'Onbase Report'!D:E,2,0),"")&lt;&gt;"","Details in Onbase","No Details"))</f>
        <v/>
      </c>
      <c r="T125" s="38" t="str">
        <f>IF(LEFT('Salesforce Dump'!Q122,5)="BHX10",LEFT('Salesforce Dump'!Q122,5),LEFT('Salesforce Dump'!Q122,4))</f>
        <v/>
      </c>
      <c r="U125" s="38"/>
    </row>
    <row r="126" spans="1:21" ht="14.5" x14ac:dyDescent="0.35">
      <c r="A126" s="47" t="str">
        <f>IF('Salesforce Dump'!A123&lt;&gt;"",'Salesforce Dump'!A123,"")</f>
        <v/>
      </c>
      <c r="B126" s="48"/>
      <c r="C126" s="49" t="str">
        <f>IF('Salesforce Dump'!B123&lt;&gt;"",'Salesforce Dump'!B123,"")</f>
        <v/>
      </c>
      <c r="D126" s="48"/>
      <c r="E126" s="50" t="str">
        <f>IF('Salesforce Dump'!C123&lt;&gt;"",'Salesforce Dump'!C123,"")</f>
        <v/>
      </c>
      <c r="F126" s="49" t="str">
        <f>IF('Salesforce Dump'!D123&lt;&gt;"",'Salesforce Dump'!D123,"")</f>
        <v/>
      </c>
      <c r="G126" s="49" t="str">
        <f>IF('Salesforce Dump'!E123&lt;&gt;"",'Salesforce Dump'!E123,"")</f>
        <v/>
      </c>
      <c r="H126" s="49" t="str">
        <f>IF('Salesforce Dump'!G123&lt;&gt;"",'Salesforce Dump'!G123,"")</f>
        <v/>
      </c>
      <c r="I126" s="49" t="str">
        <f>IF('Salesforce Dump'!H123&lt;&gt;"",'Salesforce Dump'!H123,"")</f>
        <v/>
      </c>
      <c r="J126" s="51" t="str">
        <f>IF('Salesforce Dump'!I123&lt;&gt;"",'Salesforce Dump'!I123,"")</f>
        <v/>
      </c>
      <c r="K126" s="51" t="str">
        <f>IF('Salesforce Dump'!J123&lt;&gt;"",'Salesforce Dump'!J123,"")</f>
        <v/>
      </c>
      <c r="L126" s="52" t="str">
        <f>IFERROR(INDEX('OBA Dump'!C:C,MATCH($E126*1,'OBA Dump'!$A:$A,0)),"")</f>
        <v/>
      </c>
      <c r="M126" s="52" t="str">
        <f>IFERROR(INDEX('OBA Dump'!D:D,MATCH($E126*1,'OBA Dump'!$A:$A,0)),"")</f>
        <v/>
      </c>
      <c r="N126" s="52"/>
      <c r="O126" s="52"/>
      <c r="P126" s="53"/>
      <c r="Q126" s="52"/>
      <c r="R126" s="38" t="str">
        <f>_xlfn.IFNA(VLOOKUP(E126,'Pre-Booked Holidays'!A:B,2,0),"")</f>
        <v/>
      </c>
      <c r="S126" s="38" t="str">
        <f>IF(E126="","",IF(IFERROR(VLOOKUP(E126,'Onbase Report'!D:E,2,0),"")&lt;&gt;"","Details in Onbase","No Details"))</f>
        <v/>
      </c>
      <c r="T126" s="38" t="str">
        <f>IF(LEFT('Salesforce Dump'!Q123,5)="BHX10",LEFT('Salesforce Dump'!Q123,5),LEFT('Salesforce Dump'!Q123,4))</f>
        <v/>
      </c>
      <c r="U126" s="38"/>
    </row>
    <row r="127" spans="1:21" ht="14.5" x14ac:dyDescent="0.35">
      <c r="A127" s="47" t="str">
        <f>IF('Salesforce Dump'!A124&lt;&gt;"",'Salesforce Dump'!A124,"")</f>
        <v/>
      </c>
      <c r="B127" s="48"/>
      <c r="C127" s="49" t="str">
        <f>IF('Salesforce Dump'!B124&lt;&gt;"",'Salesforce Dump'!B124,"")</f>
        <v/>
      </c>
      <c r="D127" s="48"/>
      <c r="E127" s="50" t="str">
        <f>IF('Salesforce Dump'!C124&lt;&gt;"",'Salesforce Dump'!C124,"")</f>
        <v/>
      </c>
      <c r="F127" s="49" t="str">
        <f>IF('Salesforce Dump'!D124&lt;&gt;"",'Salesforce Dump'!D124,"")</f>
        <v/>
      </c>
      <c r="G127" s="49" t="str">
        <f>IF('Salesforce Dump'!E124&lt;&gt;"",'Salesforce Dump'!E124,"")</f>
        <v/>
      </c>
      <c r="H127" s="49" t="str">
        <f>IF('Salesforce Dump'!G124&lt;&gt;"",'Salesforce Dump'!G124,"")</f>
        <v/>
      </c>
      <c r="I127" s="49" t="str">
        <f>IF('Salesforce Dump'!H124&lt;&gt;"",'Salesforce Dump'!H124,"")</f>
        <v/>
      </c>
      <c r="J127" s="51" t="str">
        <f>IF('Salesforce Dump'!I124&lt;&gt;"",'Salesforce Dump'!I124,"")</f>
        <v/>
      </c>
      <c r="K127" s="51" t="str">
        <f>IF('Salesforce Dump'!J124&lt;&gt;"",'Salesforce Dump'!J124,"")</f>
        <v/>
      </c>
      <c r="L127" s="52" t="str">
        <f>IFERROR(INDEX('OBA Dump'!C:C,MATCH($E127*1,'OBA Dump'!$A:$A,0)),"")</f>
        <v/>
      </c>
      <c r="M127" s="52" t="str">
        <f>IFERROR(INDEX('OBA Dump'!D:D,MATCH($E127*1,'OBA Dump'!$A:$A,0)),"")</f>
        <v/>
      </c>
      <c r="N127" s="52"/>
      <c r="O127" s="52"/>
      <c r="P127" s="53"/>
      <c r="Q127" s="52"/>
      <c r="R127" s="38" t="str">
        <f>_xlfn.IFNA(VLOOKUP(E127,'Pre-Booked Holidays'!A:B,2,0),"")</f>
        <v/>
      </c>
      <c r="S127" s="38" t="str">
        <f>IF(E127="","",IF(IFERROR(VLOOKUP(E127,'Onbase Report'!D:E,2,0),"")&lt;&gt;"","Details in Onbase","No Details"))</f>
        <v/>
      </c>
      <c r="T127" s="38" t="str">
        <f>IF(LEFT('Salesforce Dump'!Q124,5)="BHX10",LEFT('Salesforce Dump'!Q124,5),LEFT('Salesforce Dump'!Q124,4))</f>
        <v/>
      </c>
      <c r="U127" s="38"/>
    </row>
    <row r="128" spans="1:21" ht="14.5" x14ac:dyDescent="0.35">
      <c r="A128" s="47" t="str">
        <f>IF('Salesforce Dump'!A125&lt;&gt;"",'Salesforce Dump'!A125,"")</f>
        <v/>
      </c>
      <c r="B128" s="48"/>
      <c r="C128" s="49" t="str">
        <f>IF('Salesforce Dump'!B125&lt;&gt;"",'Salesforce Dump'!B125,"")</f>
        <v/>
      </c>
      <c r="D128" s="48"/>
      <c r="E128" s="50" t="str">
        <f>IF('Salesforce Dump'!C125&lt;&gt;"",'Salesforce Dump'!C125,"")</f>
        <v/>
      </c>
      <c r="F128" s="49" t="str">
        <f>IF('Salesforce Dump'!D125&lt;&gt;"",'Salesforce Dump'!D125,"")</f>
        <v/>
      </c>
      <c r="G128" s="49" t="str">
        <f>IF('Salesforce Dump'!E125&lt;&gt;"",'Salesforce Dump'!E125,"")</f>
        <v/>
      </c>
      <c r="H128" s="49" t="str">
        <f>IF('Salesforce Dump'!G125&lt;&gt;"",'Salesforce Dump'!G125,"")</f>
        <v/>
      </c>
      <c r="I128" s="49" t="str">
        <f>IF('Salesforce Dump'!H125&lt;&gt;"",'Salesforce Dump'!H125,"")</f>
        <v/>
      </c>
      <c r="J128" s="51" t="str">
        <f>IF('Salesforce Dump'!I125&lt;&gt;"",'Salesforce Dump'!I125,"")</f>
        <v/>
      </c>
      <c r="K128" s="51" t="str">
        <f>IF('Salesforce Dump'!J125&lt;&gt;"",'Salesforce Dump'!J125,"")</f>
        <v/>
      </c>
      <c r="L128" s="52" t="str">
        <f>IFERROR(INDEX('OBA Dump'!C:C,MATCH($E128*1,'OBA Dump'!$A:$A,0)),"")</f>
        <v/>
      </c>
      <c r="M128" s="52" t="str">
        <f>IFERROR(INDEX('OBA Dump'!D:D,MATCH($E128*1,'OBA Dump'!$A:$A,0)),"")</f>
        <v/>
      </c>
      <c r="N128" s="52"/>
      <c r="O128" s="52"/>
      <c r="P128" s="53"/>
      <c r="Q128" s="52"/>
      <c r="R128" s="38" t="str">
        <f>_xlfn.IFNA(VLOOKUP(E128,'Pre-Booked Holidays'!A:B,2,0),"")</f>
        <v/>
      </c>
      <c r="S128" s="38" t="str">
        <f>IF(E128="","",IF(IFERROR(VLOOKUP(E128,'Onbase Report'!D:E,2,0),"")&lt;&gt;"","Details in Onbase","No Details"))</f>
        <v/>
      </c>
      <c r="T128" s="38" t="str">
        <f>IF(LEFT('Salesforce Dump'!Q125,5)="BHX10",LEFT('Salesforce Dump'!Q125,5),LEFT('Salesforce Dump'!Q125,4))</f>
        <v/>
      </c>
      <c r="U128" s="38"/>
    </row>
    <row r="129" spans="1:21" ht="14.5" x14ac:dyDescent="0.35">
      <c r="A129" s="47" t="str">
        <f>IF('Salesforce Dump'!A126&lt;&gt;"",'Salesforce Dump'!A126,"")</f>
        <v/>
      </c>
      <c r="B129" s="48"/>
      <c r="C129" s="49" t="str">
        <f>IF('Salesforce Dump'!B126&lt;&gt;"",'Salesforce Dump'!B126,"")</f>
        <v/>
      </c>
      <c r="D129" s="48"/>
      <c r="E129" s="50" t="str">
        <f>IF('Salesforce Dump'!C126&lt;&gt;"",'Salesforce Dump'!C126,"")</f>
        <v/>
      </c>
      <c r="F129" s="49" t="str">
        <f>IF('Salesforce Dump'!D126&lt;&gt;"",'Salesforce Dump'!D126,"")</f>
        <v/>
      </c>
      <c r="G129" s="49" t="str">
        <f>IF('Salesforce Dump'!E126&lt;&gt;"",'Salesforce Dump'!E126,"")</f>
        <v/>
      </c>
      <c r="H129" s="49" t="str">
        <f>IF('Salesforce Dump'!G126&lt;&gt;"",'Salesforce Dump'!G126,"")</f>
        <v/>
      </c>
      <c r="I129" s="49" t="str">
        <f>IF('Salesforce Dump'!H126&lt;&gt;"",'Salesforce Dump'!H126,"")</f>
        <v/>
      </c>
      <c r="J129" s="51" t="str">
        <f>IF('Salesforce Dump'!I126&lt;&gt;"",'Salesforce Dump'!I126,"")</f>
        <v/>
      </c>
      <c r="K129" s="51" t="str">
        <f>IF('Salesforce Dump'!J126&lt;&gt;"",'Salesforce Dump'!J126,"")</f>
        <v/>
      </c>
      <c r="L129" s="52" t="str">
        <f>IFERROR(INDEX('OBA Dump'!C:C,MATCH($E129*1,'OBA Dump'!$A:$A,0)),"")</f>
        <v/>
      </c>
      <c r="M129" s="52" t="str">
        <f>IFERROR(INDEX('OBA Dump'!D:D,MATCH($E129*1,'OBA Dump'!$A:$A,0)),"")</f>
        <v/>
      </c>
      <c r="N129" s="52"/>
      <c r="O129" s="52"/>
      <c r="P129" s="53"/>
      <c r="Q129" s="52"/>
      <c r="R129" s="38" t="str">
        <f>_xlfn.IFNA(VLOOKUP(E129,'Pre-Booked Holidays'!A:B,2,0),"")</f>
        <v/>
      </c>
      <c r="S129" s="38" t="str">
        <f>IF(E129="","",IF(IFERROR(VLOOKUP(E129,'Onbase Report'!D:E,2,0),"")&lt;&gt;"","Details in Onbase","No Details"))</f>
        <v/>
      </c>
      <c r="T129" s="38" t="str">
        <f>IF(LEFT('Salesforce Dump'!Q126,5)="BHX10",LEFT('Salesforce Dump'!Q126,5),LEFT('Salesforce Dump'!Q126,4))</f>
        <v/>
      </c>
      <c r="U129" s="38"/>
    </row>
    <row r="130" spans="1:21" ht="14.5" x14ac:dyDescent="0.35">
      <c r="A130" s="47" t="str">
        <f>IF('Salesforce Dump'!A127&lt;&gt;"",'Salesforce Dump'!A127,"")</f>
        <v/>
      </c>
      <c r="B130" s="48"/>
      <c r="C130" s="49" t="str">
        <f>IF('Salesforce Dump'!B127&lt;&gt;"",'Salesforce Dump'!B127,"")</f>
        <v/>
      </c>
      <c r="D130" s="48"/>
      <c r="E130" s="50" t="str">
        <f>IF('Salesforce Dump'!C127&lt;&gt;"",'Salesforce Dump'!C127,"")</f>
        <v/>
      </c>
      <c r="F130" s="49" t="str">
        <f>IF('Salesforce Dump'!D127&lt;&gt;"",'Salesforce Dump'!D127,"")</f>
        <v/>
      </c>
      <c r="G130" s="49" t="str">
        <f>IF('Salesforce Dump'!E127&lt;&gt;"",'Salesforce Dump'!E127,"")</f>
        <v/>
      </c>
      <c r="H130" s="49" t="str">
        <f>IF('Salesforce Dump'!G127&lt;&gt;"",'Salesforce Dump'!G127,"")</f>
        <v/>
      </c>
      <c r="I130" s="49" t="str">
        <f>IF('Salesforce Dump'!H127&lt;&gt;"",'Salesforce Dump'!H127,"")</f>
        <v/>
      </c>
      <c r="J130" s="51" t="str">
        <f>IF('Salesforce Dump'!I127&lt;&gt;"",'Salesforce Dump'!I127,"")</f>
        <v/>
      </c>
      <c r="K130" s="51" t="str">
        <f>IF('Salesforce Dump'!J127&lt;&gt;"",'Salesforce Dump'!J127,"")</f>
        <v/>
      </c>
      <c r="L130" s="52" t="str">
        <f>IFERROR(INDEX('OBA Dump'!C:C,MATCH($E130*1,'OBA Dump'!$A:$A,0)),"")</f>
        <v/>
      </c>
      <c r="M130" s="52" t="str">
        <f>IFERROR(INDEX('OBA Dump'!D:D,MATCH($E130*1,'OBA Dump'!$A:$A,0)),"")</f>
        <v/>
      </c>
      <c r="N130" s="52"/>
      <c r="O130" s="52"/>
      <c r="P130" s="53"/>
      <c r="Q130" s="52"/>
      <c r="R130" s="38" t="str">
        <f>_xlfn.IFNA(VLOOKUP(E130,'Pre-Booked Holidays'!A:B,2,0),"")</f>
        <v/>
      </c>
      <c r="S130" s="38" t="str">
        <f>IF(E130="","",IF(IFERROR(VLOOKUP(E130,'Onbase Report'!D:E,2,0),"")&lt;&gt;"","Details in Onbase","No Details"))</f>
        <v/>
      </c>
      <c r="T130" s="38" t="str">
        <f>IF(LEFT('Salesforce Dump'!Q127,5)="BHX10",LEFT('Salesforce Dump'!Q127,5),LEFT('Salesforce Dump'!Q127,4))</f>
        <v/>
      </c>
      <c r="U130" s="38"/>
    </row>
    <row r="131" spans="1:21" ht="14.5" x14ac:dyDescent="0.35">
      <c r="A131" s="47" t="str">
        <f>IF('Salesforce Dump'!A128&lt;&gt;"",'Salesforce Dump'!A128,"")</f>
        <v/>
      </c>
      <c r="B131" s="48"/>
      <c r="C131" s="49" t="str">
        <f>IF('Salesforce Dump'!B128&lt;&gt;"",'Salesforce Dump'!B128,"")</f>
        <v/>
      </c>
      <c r="D131" s="48"/>
      <c r="E131" s="50" t="str">
        <f>IF('Salesforce Dump'!C128&lt;&gt;"",'Salesforce Dump'!C128,"")</f>
        <v/>
      </c>
      <c r="F131" s="49" t="str">
        <f>IF('Salesforce Dump'!D128&lt;&gt;"",'Salesforce Dump'!D128,"")</f>
        <v/>
      </c>
      <c r="G131" s="49" t="str">
        <f>IF('Salesforce Dump'!E128&lt;&gt;"",'Salesforce Dump'!E128,"")</f>
        <v/>
      </c>
      <c r="H131" s="49" t="str">
        <f>IF('Salesforce Dump'!G128&lt;&gt;"",'Salesforce Dump'!G128,"")</f>
        <v/>
      </c>
      <c r="I131" s="49" t="str">
        <f>IF('Salesforce Dump'!H128&lt;&gt;"",'Salesforce Dump'!H128,"")</f>
        <v/>
      </c>
      <c r="J131" s="51" t="str">
        <f>IF('Salesforce Dump'!I128&lt;&gt;"",'Salesforce Dump'!I128,"")</f>
        <v/>
      </c>
      <c r="K131" s="51" t="str">
        <f>IF('Salesforce Dump'!J128&lt;&gt;"",'Salesforce Dump'!J128,"")</f>
        <v/>
      </c>
      <c r="L131" s="52" t="str">
        <f>IFERROR(INDEX('OBA Dump'!C:C,MATCH($E131*1,'OBA Dump'!$A:$A,0)),"")</f>
        <v/>
      </c>
      <c r="M131" s="52" t="str">
        <f>IFERROR(INDEX('OBA Dump'!D:D,MATCH($E131*1,'OBA Dump'!$A:$A,0)),"")</f>
        <v/>
      </c>
      <c r="N131" s="52"/>
      <c r="O131" s="52"/>
      <c r="P131" s="53"/>
      <c r="Q131" s="52"/>
      <c r="R131" s="38" t="str">
        <f>_xlfn.IFNA(VLOOKUP(E131,'Pre-Booked Holidays'!A:B,2,0),"")</f>
        <v/>
      </c>
      <c r="S131" s="38" t="str">
        <f>IF(E131="","",IF(IFERROR(VLOOKUP(E131,'Onbase Report'!D:E,2,0),"")&lt;&gt;"","Details in Onbase","No Details"))</f>
        <v/>
      </c>
      <c r="T131" s="38" t="str">
        <f>IF(LEFT('Salesforce Dump'!Q128,5)="BHX10",LEFT('Salesforce Dump'!Q128,5),LEFT('Salesforce Dump'!Q128,4))</f>
        <v/>
      </c>
      <c r="U131" s="38"/>
    </row>
    <row r="132" spans="1:21" ht="14.5" x14ac:dyDescent="0.35">
      <c r="A132" s="47" t="str">
        <f>IF('Salesforce Dump'!A129&lt;&gt;"",'Salesforce Dump'!A129,"")</f>
        <v/>
      </c>
      <c r="B132" s="48"/>
      <c r="C132" s="49" t="str">
        <f>IF('Salesforce Dump'!B129&lt;&gt;"",'Salesforce Dump'!B129,"")</f>
        <v/>
      </c>
      <c r="D132" s="48"/>
      <c r="E132" s="50" t="str">
        <f>IF('Salesforce Dump'!C129&lt;&gt;"",'Salesforce Dump'!C129,"")</f>
        <v/>
      </c>
      <c r="F132" s="49" t="str">
        <f>IF('Salesforce Dump'!D129&lt;&gt;"",'Salesforce Dump'!D129,"")</f>
        <v/>
      </c>
      <c r="G132" s="49" t="str">
        <f>IF('Salesforce Dump'!E129&lt;&gt;"",'Salesforce Dump'!E129,"")</f>
        <v/>
      </c>
      <c r="H132" s="49" t="str">
        <f>IF('Salesforce Dump'!G129&lt;&gt;"",'Salesforce Dump'!G129,"")</f>
        <v/>
      </c>
      <c r="I132" s="49" t="str">
        <f>IF('Salesforce Dump'!H129&lt;&gt;"",'Salesforce Dump'!H129,"")</f>
        <v/>
      </c>
      <c r="J132" s="51" t="str">
        <f>IF('Salesforce Dump'!I129&lt;&gt;"",'Salesforce Dump'!I129,"")</f>
        <v/>
      </c>
      <c r="K132" s="51" t="str">
        <f>IF('Salesforce Dump'!J129&lt;&gt;"",'Salesforce Dump'!J129,"")</f>
        <v/>
      </c>
      <c r="L132" s="52" t="str">
        <f>IFERROR(INDEX('OBA Dump'!C:C,MATCH($E132*1,'OBA Dump'!$A:$A,0)),"")</f>
        <v/>
      </c>
      <c r="M132" s="52" t="str">
        <f>IFERROR(INDEX('OBA Dump'!D:D,MATCH($E132*1,'OBA Dump'!$A:$A,0)),"")</f>
        <v/>
      </c>
      <c r="N132" s="52"/>
      <c r="O132" s="52"/>
      <c r="P132" s="53"/>
      <c r="Q132" s="52"/>
      <c r="R132" s="38" t="str">
        <f>_xlfn.IFNA(VLOOKUP(E132,'Pre-Booked Holidays'!A:B,2,0),"")</f>
        <v/>
      </c>
      <c r="S132" s="38" t="str">
        <f>IF(E132="","",IF(IFERROR(VLOOKUP(E132,'Onbase Report'!D:E,2,0),"")&lt;&gt;"","Details in Onbase","No Details"))</f>
        <v/>
      </c>
      <c r="T132" s="38" t="str">
        <f>IF(LEFT('Salesforce Dump'!Q129,5)="BHX10",LEFT('Salesforce Dump'!Q129,5),LEFT('Salesforce Dump'!Q129,4))</f>
        <v/>
      </c>
      <c r="U132" s="38"/>
    </row>
    <row r="133" spans="1:21" ht="14.5" x14ac:dyDescent="0.35">
      <c r="A133" s="47" t="str">
        <f>IF('Salesforce Dump'!A130&lt;&gt;"",'Salesforce Dump'!A130,"")</f>
        <v/>
      </c>
      <c r="B133" s="48"/>
      <c r="C133" s="49" t="str">
        <f>IF('Salesforce Dump'!B130&lt;&gt;"",'Salesforce Dump'!B130,"")</f>
        <v/>
      </c>
      <c r="D133" s="48"/>
      <c r="E133" s="50" t="str">
        <f>IF('Salesforce Dump'!C130&lt;&gt;"",'Salesforce Dump'!C130,"")</f>
        <v/>
      </c>
      <c r="F133" s="49" t="str">
        <f>IF('Salesforce Dump'!D130&lt;&gt;"",'Salesforce Dump'!D130,"")</f>
        <v/>
      </c>
      <c r="G133" s="49" t="str">
        <f>IF('Salesforce Dump'!E130&lt;&gt;"",'Salesforce Dump'!E130,"")</f>
        <v/>
      </c>
      <c r="H133" s="49" t="str">
        <f>IF('Salesforce Dump'!G130&lt;&gt;"",'Salesforce Dump'!G130,"")</f>
        <v/>
      </c>
      <c r="I133" s="49" t="str">
        <f>IF('Salesforce Dump'!H130&lt;&gt;"",'Salesforce Dump'!H130,"")</f>
        <v/>
      </c>
      <c r="J133" s="51" t="str">
        <f>IF('Salesforce Dump'!I130&lt;&gt;"",'Salesforce Dump'!I130,"")</f>
        <v/>
      </c>
      <c r="K133" s="51" t="str">
        <f>IF('Salesforce Dump'!J130&lt;&gt;"",'Salesforce Dump'!J130,"")</f>
        <v/>
      </c>
      <c r="L133" s="52" t="str">
        <f>IFERROR(INDEX('OBA Dump'!C:C,MATCH($E133*1,'OBA Dump'!$A:$A,0)),"")</f>
        <v/>
      </c>
      <c r="M133" s="52" t="str">
        <f>IFERROR(INDEX('OBA Dump'!D:D,MATCH($E133*1,'OBA Dump'!$A:$A,0)),"")</f>
        <v/>
      </c>
      <c r="N133" s="52"/>
      <c r="O133" s="52"/>
      <c r="P133" s="53"/>
      <c r="Q133" s="52"/>
      <c r="R133" s="38" t="str">
        <f>_xlfn.IFNA(VLOOKUP(E133,'Pre-Booked Holidays'!A:B,2,0),"")</f>
        <v/>
      </c>
      <c r="S133" s="38" t="str">
        <f>IF(E133="","",IF(IFERROR(VLOOKUP(E133,'Onbase Report'!D:E,2,0),"")&lt;&gt;"","Details in Onbase","No Details"))</f>
        <v/>
      </c>
      <c r="T133" s="38" t="str">
        <f>IF(LEFT('Salesforce Dump'!Q130,5)="BHX10",LEFT('Salesforce Dump'!Q130,5),LEFT('Salesforce Dump'!Q130,4))</f>
        <v/>
      </c>
      <c r="U133" s="38"/>
    </row>
    <row r="134" spans="1:21" ht="14.5" x14ac:dyDescent="0.35">
      <c r="A134" s="47" t="str">
        <f>IF('Salesforce Dump'!A131&lt;&gt;"",'Salesforce Dump'!A131,"")</f>
        <v/>
      </c>
      <c r="B134" s="48"/>
      <c r="C134" s="49" t="str">
        <f>IF('Salesforce Dump'!B131&lt;&gt;"",'Salesforce Dump'!B131,"")</f>
        <v/>
      </c>
      <c r="D134" s="48"/>
      <c r="E134" s="50" t="str">
        <f>IF('Salesforce Dump'!C131&lt;&gt;"",'Salesforce Dump'!C131,"")</f>
        <v/>
      </c>
      <c r="F134" s="49" t="str">
        <f>IF('Salesforce Dump'!D131&lt;&gt;"",'Salesforce Dump'!D131,"")</f>
        <v/>
      </c>
      <c r="G134" s="49" t="str">
        <f>IF('Salesforce Dump'!E131&lt;&gt;"",'Salesforce Dump'!E131,"")</f>
        <v/>
      </c>
      <c r="H134" s="49" t="str">
        <f>IF('Salesforce Dump'!G131&lt;&gt;"",'Salesforce Dump'!G131,"")</f>
        <v/>
      </c>
      <c r="I134" s="49" t="str">
        <f>IF('Salesforce Dump'!H131&lt;&gt;"",'Salesforce Dump'!H131,"")</f>
        <v/>
      </c>
      <c r="J134" s="51" t="str">
        <f>IF('Salesforce Dump'!I131&lt;&gt;"",'Salesforce Dump'!I131,"")</f>
        <v/>
      </c>
      <c r="K134" s="51" t="str">
        <f>IF('Salesforce Dump'!J131&lt;&gt;"",'Salesforce Dump'!J131,"")</f>
        <v/>
      </c>
      <c r="L134" s="52" t="str">
        <f>IFERROR(INDEX('OBA Dump'!C:C,MATCH($E134*1,'OBA Dump'!$A:$A,0)),"")</f>
        <v/>
      </c>
      <c r="M134" s="52" t="str">
        <f>IFERROR(INDEX('OBA Dump'!D:D,MATCH($E134*1,'OBA Dump'!$A:$A,0)),"")</f>
        <v/>
      </c>
      <c r="N134" s="52"/>
      <c r="O134" s="52"/>
      <c r="P134" s="53"/>
      <c r="Q134" s="52"/>
      <c r="R134" s="38" t="str">
        <f>_xlfn.IFNA(VLOOKUP(E134,'Pre-Booked Holidays'!A:B,2,0),"")</f>
        <v/>
      </c>
      <c r="S134" s="38" t="str">
        <f>IF(E134="","",IF(IFERROR(VLOOKUP(E134,'Onbase Report'!D:E,2,0),"")&lt;&gt;"","Details in Onbase","No Details"))</f>
        <v/>
      </c>
      <c r="T134" s="38" t="str">
        <f>IF(LEFT('Salesforce Dump'!Q131,5)="BHX10",LEFT('Salesforce Dump'!Q131,5),LEFT('Salesforce Dump'!Q131,4))</f>
        <v/>
      </c>
      <c r="U134" s="38"/>
    </row>
    <row r="135" spans="1:21" ht="14.5" x14ac:dyDescent="0.35">
      <c r="A135" s="47" t="str">
        <f>IF('Salesforce Dump'!A132&lt;&gt;"",'Salesforce Dump'!A132,"")</f>
        <v/>
      </c>
      <c r="B135" s="48"/>
      <c r="C135" s="49" t="str">
        <f>IF('Salesforce Dump'!B132&lt;&gt;"",'Salesforce Dump'!B132,"")</f>
        <v/>
      </c>
      <c r="D135" s="48"/>
      <c r="E135" s="50" t="str">
        <f>IF('Salesforce Dump'!C132&lt;&gt;"",'Salesforce Dump'!C132,"")</f>
        <v/>
      </c>
      <c r="F135" s="49" t="str">
        <f>IF('Salesforce Dump'!D132&lt;&gt;"",'Salesforce Dump'!D132,"")</f>
        <v/>
      </c>
      <c r="G135" s="49" t="str">
        <f>IF('Salesforce Dump'!E132&lt;&gt;"",'Salesforce Dump'!E132,"")</f>
        <v/>
      </c>
      <c r="H135" s="49" t="str">
        <f>IF('Salesforce Dump'!G132&lt;&gt;"",'Salesforce Dump'!G132,"")</f>
        <v/>
      </c>
      <c r="I135" s="49" t="str">
        <f>IF('Salesforce Dump'!H132&lt;&gt;"",'Salesforce Dump'!H132,"")</f>
        <v/>
      </c>
      <c r="J135" s="51" t="str">
        <f>IF('Salesforce Dump'!I132&lt;&gt;"",'Salesforce Dump'!I132,"")</f>
        <v/>
      </c>
      <c r="K135" s="51" t="str">
        <f>IF('Salesforce Dump'!J132&lt;&gt;"",'Salesforce Dump'!J132,"")</f>
        <v/>
      </c>
      <c r="L135" s="52" t="str">
        <f>IFERROR(INDEX('OBA Dump'!C:C,MATCH($E135*1,'OBA Dump'!$A:$A,0)),"")</f>
        <v/>
      </c>
      <c r="M135" s="52" t="str">
        <f>IFERROR(INDEX('OBA Dump'!D:D,MATCH($E135*1,'OBA Dump'!$A:$A,0)),"")</f>
        <v/>
      </c>
      <c r="N135" s="52"/>
      <c r="O135" s="52"/>
      <c r="P135" s="53"/>
      <c r="Q135" s="52"/>
      <c r="R135" s="38" t="str">
        <f>_xlfn.IFNA(VLOOKUP(E135,'Pre-Booked Holidays'!A:B,2,0),"")</f>
        <v/>
      </c>
      <c r="S135" s="38" t="str">
        <f>IF(E135="","",IF(IFERROR(VLOOKUP(E135,'Onbase Report'!D:E,2,0),"")&lt;&gt;"","Details in Onbase","No Details"))</f>
        <v/>
      </c>
      <c r="T135" s="38" t="str">
        <f>IF(LEFT('Salesforce Dump'!Q132,5)="BHX10",LEFT('Salesforce Dump'!Q132,5),LEFT('Salesforce Dump'!Q132,4))</f>
        <v/>
      </c>
      <c r="U135" s="38"/>
    </row>
    <row r="136" spans="1:21" ht="14.5" x14ac:dyDescent="0.35">
      <c r="A136" s="47" t="str">
        <f>IF('Salesforce Dump'!A133&lt;&gt;"",'Salesforce Dump'!A133,"")</f>
        <v/>
      </c>
      <c r="B136" s="48"/>
      <c r="C136" s="49" t="str">
        <f>IF('Salesforce Dump'!B133&lt;&gt;"",'Salesforce Dump'!B133,"")</f>
        <v/>
      </c>
      <c r="D136" s="48"/>
      <c r="E136" s="50" t="str">
        <f>IF('Salesforce Dump'!C133&lt;&gt;"",'Salesforce Dump'!C133,"")</f>
        <v/>
      </c>
      <c r="F136" s="49" t="str">
        <f>IF('Salesforce Dump'!D133&lt;&gt;"",'Salesforce Dump'!D133,"")</f>
        <v/>
      </c>
      <c r="G136" s="49" t="str">
        <f>IF('Salesforce Dump'!E133&lt;&gt;"",'Salesforce Dump'!E133,"")</f>
        <v/>
      </c>
      <c r="H136" s="49" t="str">
        <f>IF('Salesforce Dump'!G133&lt;&gt;"",'Salesforce Dump'!G133,"")</f>
        <v/>
      </c>
      <c r="I136" s="49" t="str">
        <f>IF('Salesforce Dump'!H133&lt;&gt;"",'Salesforce Dump'!H133,"")</f>
        <v/>
      </c>
      <c r="J136" s="51" t="str">
        <f>IF('Salesforce Dump'!I133&lt;&gt;"",'Salesforce Dump'!I133,"")</f>
        <v/>
      </c>
      <c r="K136" s="51" t="str">
        <f>IF('Salesforce Dump'!J133&lt;&gt;"",'Salesforce Dump'!J133,"")</f>
        <v/>
      </c>
      <c r="L136" s="52" t="str">
        <f>IFERROR(INDEX('OBA Dump'!C:C,MATCH($E136*1,'OBA Dump'!$A:$A,0)),"")</f>
        <v/>
      </c>
      <c r="M136" s="52" t="str">
        <f>IFERROR(INDEX('OBA Dump'!D:D,MATCH($E136*1,'OBA Dump'!$A:$A,0)),"")</f>
        <v/>
      </c>
      <c r="N136" s="52"/>
      <c r="O136" s="52"/>
      <c r="P136" s="53"/>
      <c r="Q136" s="52"/>
      <c r="R136" s="38" t="str">
        <f>_xlfn.IFNA(VLOOKUP(E136,'Pre-Booked Holidays'!A:B,2,0),"")</f>
        <v/>
      </c>
      <c r="S136" s="38" t="str">
        <f>IF(E136="","",IF(IFERROR(VLOOKUP(E136,'Onbase Report'!D:E,2,0),"")&lt;&gt;"","Details in Onbase","No Details"))</f>
        <v/>
      </c>
      <c r="T136" s="38" t="str">
        <f>IF(LEFT('Salesforce Dump'!Q133,5)="BHX10",LEFT('Salesforce Dump'!Q133,5),LEFT('Salesforce Dump'!Q133,4))</f>
        <v/>
      </c>
      <c r="U136" s="38"/>
    </row>
    <row r="137" spans="1:21" ht="14.5" x14ac:dyDescent="0.35">
      <c r="A137" s="47" t="str">
        <f>IF('Salesforce Dump'!A134&lt;&gt;"",'Salesforce Dump'!A134,"")</f>
        <v/>
      </c>
      <c r="B137" s="48"/>
      <c r="C137" s="49" t="str">
        <f>IF('Salesforce Dump'!B134&lt;&gt;"",'Salesforce Dump'!B134,"")</f>
        <v/>
      </c>
      <c r="D137" s="48"/>
      <c r="E137" s="50" t="str">
        <f>IF('Salesforce Dump'!C134&lt;&gt;"",'Salesforce Dump'!C134,"")</f>
        <v/>
      </c>
      <c r="F137" s="49" t="str">
        <f>IF('Salesforce Dump'!D134&lt;&gt;"",'Salesforce Dump'!D134,"")</f>
        <v/>
      </c>
      <c r="G137" s="49" t="str">
        <f>IF('Salesforce Dump'!E134&lt;&gt;"",'Salesforce Dump'!E134,"")</f>
        <v/>
      </c>
      <c r="H137" s="49" t="str">
        <f>IF('Salesforce Dump'!G134&lt;&gt;"",'Salesforce Dump'!G134,"")</f>
        <v/>
      </c>
      <c r="I137" s="49" t="str">
        <f>IF('Salesforce Dump'!H134&lt;&gt;"",'Salesforce Dump'!H134,"")</f>
        <v/>
      </c>
      <c r="J137" s="51" t="str">
        <f>IF('Salesforce Dump'!I134&lt;&gt;"",'Salesforce Dump'!I134,"")</f>
        <v/>
      </c>
      <c r="K137" s="51" t="str">
        <f>IF('Salesforce Dump'!J134&lt;&gt;"",'Salesforce Dump'!J134,"")</f>
        <v/>
      </c>
      <c r="L137" s="52" t="str">
        <f>IFERROR(INDEX('OBA Dump'!C:C,MATCH($E137*1,'OBA Dump'!$A:$A,0)),"")</f>
        <v/>
      </c>
      <c r="M137" s="52" t="str">
        <f>IFERROR(INDEX('OBA Dump'!D:D,MATCH($E137*1,'OBA Dump'!$A:$A,0)),"")</f>
        <v/>
      </c>
      <c r="N137" s="52"/>
      <c r="O137" s="52"/>
      <c r="P137" s="53"/>
      <c r="Q137" s="52"/>
      <c r="R137" s="38" t="str">
        <f>_xlfn.IFNA(VLOOKUP(E137,'Pre-Booked Holidays'!A:B,2,0),"")</f>
        <v/>
      </c>
      <c r="S137" s="38" t="str">
        <f>IF(E137="","",IF(IFERROR(VLOOKUP(E137,'Onbase Report'!D:E,2,0),"")&lt;&gt;"","Details in Onbase","No Details"))</f>
        <v/>
      </c>
      <c r="T137" s="38" t="str">
        <f>IF(LEFT('Salesforce Dump'!Q134,5)="BHX10",LEFT('Salesforce Dump'!Q134,5),LEFT('Salesforce Dump'!Q134,4))</f>
        <v/>
      </c>
      <c r="U137" s="38"/>
    </row>
    <row r="138" spans="1:21" ht="14.5" x14ac:dyDescent="0.35">
      <c r="A138" s="47" t="str">
        <f>IF('Salesforce Dump'!A135&lt;&gt;"",'Salesforce Dump'!A135,"")</f>
        <v/>
      </c>
      <c r="B138" s="48"/>
      <c r="C138" s="49" t="str">
        <f>IF('Salesforce Dump'!B135&lt;&gt;"",'Salesforce Dump'!B135,"")</f>
        <v/>
      </c>
      <c r="D138" s="48"/>
      <c r="E138" s="50" t="str">
        <f>IF('Salesforce Dump'!C135&lt;&gt;"",'Salesforce Dump'!C135,"")</f>
        <v/>
      </c>
      <c r="F138" s="49" t="str">
        <f>IF('Salesforce Dump'!D135&lt;&gt;"",'Salesforce Dump'!D135,"")</f>
        <v/>
      </c>
      <c r="G138" s="49" t="str">
        <f>IF('Salesforce Dump'!E135&lt;&gt;"",'Salesforce Dump'!E135,"")</f>
        <v/>
      </c>
      <c r="H138" s="49" t="str">
        <f>IF('Salesforce Dump'!G135&lt;&gt;"",'Salesforce Dump'!G135,"")</f>
        <v/>
      </c>
      <c r="I138" s="49" t="str">
        <f>IF('Salesforce Dump'!H135&lt;&gt;"",'Salesforce Dump'!H135,"")</f>
        <v/>
      </c>
      <c r="J138" s="51" t="str">
        <f>IF('Salesforce Dump'!I135&lt;&gt;"",'Salesforce Dump'!I135,"")</f>
        <v/>
      </c>
      <c r="K138" s="51" t="str">
        <f>IF('Salesforce Dump'!J135&lt;&gt;"",'Salesforce Dump'!J135,"")</f>
        <v/>
      </c>
      <c r="L138" s="52" t="str">
        <f>IFERROR(INDEX('OBA Dump'!C:C,MATCH($E138*1,'OBA Dump'!$A:$A,0)),"")</f>
        <v/>
      </c>
      <c r="M138" s="52" t="str">
        <f>IFERROR(INDEX('OBA Dump'!D:D,MATCH($E138*1,'OBA Dump'!$A:$A,0)),"")</f>
        <v/>
      </c>
      <c r="N138" s="52"/>
      <c r="O138" s="52"/>
      <c r="P138" s="53"/>
      <c r="Q138" s="52"/>
      <c r="R138" s="38" t="str">
        <f>_xlfn.IFNA(VLOOKUP(E138,'Pre-Booked Holidays'!A:B,2,0),"")</f>
        <v/>
      </c>
      <c r="S138" s="38" t="str">
        <f>IF(E138="","",IF(IFERROR(VLOOKUP(E138,'Onbase Report'!D:E,2,0),"")&lt;&gt;"","Details in Onbase","No Details"))</f>
        <v/>
      </c>
      <c r="T138" s="38" t="str">
        <f>IF(LEFT('Salesforce Dump'!Q135,5)="BHX10",LEFT('Salesforce Dump'!Q135,5),LEFT('Salesforce Dump'!Q135,4))</f>
        <v/>
      </c>
      <c r="U138" s="38"/>
    </row>
    <row r="139" spans="1:21" ht="14.5" x14ac:dyDescent="0.35">
      <c r="A139" s="47" t="str">
        <f>IF('Salesforce Dump'!A136&lt;&gt;"",'Salesforce Dump'!A136,"")</f>
        <v/>
      </c>
      <c r="B139" s="48"/>
      <c r="C139" s="49" t="str">
        <f>IF('Salesforce Dump'!B136&lt;&gt;"",'Salesforce Dump'!B136,"")</f>
        <v/>
      </c>
      <c r="D139" s="48"/>
      <c r="E139" s="50" t="str">
        <f>IF('Salesforce Dump'!C136&lt;&gt;"",'Salesforce Dump'!C136,"")</f>
        <v/>
      </c>
      <c r="F139" s="49" t="str">
        <f>IF('Salesforce Dump'!D136&lt;&gt;"",'Salesforce Dump'!D136,"")</f>
        <v/>
      </c>
      <c r="G139" s="49" t="str">
        <f>IF('Salesforce Dump'!E136&lt;&gt;"",'Salesforce Dump'!E136,"")</f>
        <v/>
      </c>
      <c r="H139" s="49" t="str">
        <f>IF('Salesforce Dump'!G136&lt;&gt;"",'Salesforce Dump'!G136,"")</f>
        <v/>
      </c>
      <c r="I139" s="49" t="str">
        <f>IF('Salesforce Dump'!H136&lt;&gt;"",'Salesforce Dump'!H136,"")</f>
        <v/>
      </c>
      <c r="J139" s="51" t="str">
        <f>IF('Salesforce Dump'!I136&lt;&gt;"",'Salesforce Dump'!I136,"")</f>
        <v/>
      </c>
      <c r="K139" s="51" t="str">
        <f>IF('Salesforce Dump'!J136&lt;&gt;"",'Salesforce Dump'!J136,"")</f>
        <v/>
      </c>
      <c r="L139" s="52" t="str">
        <f>IFERROR(INDEX('OBA Dump'!C:C,MATCH($E139*1,'OBA Dump'!$A:$A,0)),"")</f>
        <v/>
      </c>
      <c r="M139" s="52" t="str">
        <f>IFERROR(INDEX('OBA Dump'!D:D,MATCH($E139*1,'OBA Dump'!$A:$A,0)),"")</f>
        <v/>
      </c>
      <c r="N139" s="52"/>
      <c r="O139" s="52"/>
      <c r="P139" s="53"/>
      <c r="Q139" s="52"/>
      <c r="R139" s="38" t="str">
        <f>_xlfn.IFNA(VLOOKUP(E139,'Pre-Booked Holidays'!A:B,2,0),"")</f>
        <v/>
      </c>
      <c r="S139" s="38" t="str">
        <f>IF(E139="","",IF(IFERROR(VLOOKUP(E139,'Onbase Report'!D:E,2,0),"")&lt;&gt;"","Details in Onbase","No Details"))</f>
        <v/>
      </c>
      <c r="T139" s="38" t="str">
        <f>IF(LEFT('Salesforce Dump'!Q136,5)="BHX10",LEFT('Salesforce Dump'!Q136,5),LEFT('Salesforce Dump'!Q136,4))</f>
        <v/>
      </c>
      <c r="U139" s="38"/>
    </row>
    <row r="140" spans="1:21" ht="14.5" x14ac:dyDescent="0.35">
      <c r="A140" s="47" t="str">
        <f>IF('Salesforce Dump'!A137&lt;&gt;"",'Salesforce Dump'!A137,"")</f>
        <v/>
      </c>
      <c r="B140" s="48"/>
      <c r="C140" s="49" t="str">
        <f>IF('Salesforce Dump'!B137&lt;&gt;"",'Salesforce Dump'!B137,"")</f>
        <v/>
      </c>
      <c r="D140" s="48"/>
      <c r="E140" s="50" t="str">
        <f>IF('Salesforce Dump'!C137&lt;&gt;"",'Salesforce Dump'!C137,"")</f>
        <v/>
      </c>
      <c r="F140" s="49" t="str">
        <f>IF('Salesforce Dump'!D137&lt;&gt;"",'Salesforce Dump'!D137,"")</f>
        <v/>
      </c>
      <c r="G140" s="49" t="str">
        <f>IF('Salesforce Dump'!E137&lt;&gt;"",'Salesforce Dump'!E137,"")</f>
        <v/>
      </c>
      <c r="H140" s="49" t="str">
        <f>IF('Salesforce Dump'!G137&lt;&gt;"",'Salesforce Dump'!G137,"")</f>
        <v/>
      </c>
      <c r="I140" s="49" t="str">
        <f>IF('Salesforce Dump'!H137&lt;&gt;"",'Salesforce Dump'!H137,"")</f>
        <v/>
      </c>
      <c r="J140" s="51" t="str">
        <f>IF('Salesforce Dump'!I137&lt;&gt;"",'Salesforce Dump'!I137,"")</f>
        <v/>
      </c>
      <c r="K140" s="51" t="str">
        <f>IF('Salesforce Dump'!J137&lt;&gt;"",'Salesforce Dump'!J137,"")</f>
        <v/>
      </c>
      <c r="L140" s="52" t="str">
        <f>IFERROR(INDEX('OBA Dump'!C:C,MATCH($E140*1,'OBA Dump'!$A:$A,0)),"")</f>
        <v/>
      </c>
      <c r="M140" s="52" t="str">
        <f>IFERROR(INDEX('OBA Dump'!D:D,MATCH($E140*1,'OBA Dump'!$A:$A,0)),"")</f>
        <v/>
      </c>
      <c r="N140" s="52"/>
      <c r="O140" s="52"/>
      <c r="P140" s="53"/>
      <c r="Q140" s="52"/>
      <c r="R140" s="38" t="str">
        <f>_xlfn.IFNA(VLOOKUP(E140,'Pre-Booked Holidays'!A:B,2,0),"")</f>
        <v/>
      </c>
      <c r="S140" s="38" t="str">
        <f>IF(E140="","",IF(IFERROR(VLOOKUP(E140,'Onbase Report'!D:E,2,0),"")&lt;&gt;"","Details in Onbase","No Details"))</f>
        <v/>
      </c>
      <c r="T140" s="38" t="str">
        <f>IF(LEFT('Salesforce Dump'!Q137,5)="BHX10",LEFT('Salesforce Dump'!Q137,5),LEFT('Salesforce Dump'!Q137,4))</f>
        <v/>
      </c>
      <c r="U140" s="38"/>
    </row>
    <row r="141" spans="1:21" ht="14.5" x14ac:dyDescent="0.35">
      <c r="A141" s="47" t="str">
        <f>IF('Salesforce Dump'!A138&lt;&gt;"",'Salesforce Dump'!A138,"")</f>
        <v/>
      </c>
      <c r="B141" s="48"/>
      <c r="C141" s="49" t="str">
        <f>IF('Salesforce Dump'!B138&lt;&gt;"",'Salesforce Dump'!B138,"")</f>
        <v/>
      </c>
      <c r="D141" s="48"/>
      <c r="E141" s="50" t="str">
        <f>IF('Salesforce Dump'!C138&lt;&gt;"",'Salesforce Dump'!C138,"")</f>
        <v/>
      </c>
      <c r="F141" s="49" t="str">
        <f>IF('Salesforce Dump'!D138&lt;&gt;"",'Salesforce Dump'!D138,"")</f>
        <v/>
      </c>
      <c r="G141" s="49" t="str">
        <f>IF('Salesforce Dump'!E138&lt;&gt;"",'Salesforce Dump'!E138,"")</f>
        <v/>
      </c>
      <c r="H141" s="49" t="str">
        <f>IF('Salesforce Dump'!G138&lt;&gt;"",'Salesforce Dump'!G138,"")</f>
        <v/>
      </c>
      <c r="I141" s="49" t="str">
        <f>IF('Salesforce Dump'!H138&lt;&gt;"",'Salesforce Dump'!H138,"")</f>
        <v/>
      </c>
      <c r="J141" s="51" t="str">
        <f>IF('Salesforce Dump'!I138&lt;&gt;"",'Salesforce Dump'!I138,"")</f>
        <v/>
      </c>
      <c r="K141" s="51" t="str">
        <f>IF('Salesforce Dump'!J138&lt;&gt;"",'Salesforce Dump'!J138,"")</f>
        <v/>
      </c>
      <c r="L141" s="52" t="str">
        <f>IFERROR(INDEX('OBA Dump'!C:C,MATCH($E141*1,'OBA Dump'!$A:$A,0)),"")</f>
        <v/>
      </c>
      <c r="M141" s="52" t="str">
        <f>IFERROR(INDEX('OBA Dump'!D:D,MATCH($E141*1,'OBA Dump'!$A:$A,0)),"")</f>
        <v/>
      </c>
      <c r="N141" s="52"/>
      <c r="O141" s="52"/>
      <c r="P141" s="53"/>
      <c r="Q141" s="52"/>
      <c r="R141" s="38" t="str">
        <f>_xlfn.IFNA(VLOOKUP(E141,'Pre-Booked Holidays'!A:B,2,0),"")</f>
        <v/>
      </c>
      <c r="S141" s="38" t="str">
        <f>IF(E141="","",IF(IFERROR(VLOOKUP(E141,'Onbase Report'!D:E,2,0),"")&lt;&gt;"","Details in Onbase","No Details"))</f>
        <v/>
      </c>
      <c r="T141" s="38" t="str">
        <f>IF(LEFT('Salesforce Dump'!Q138,5)="BHX10",LEFT('Salesforce Dump'!Q138,5),LEFT('Salesforce Dump'!Q138,4))</f>
        <v/>
      </c>
      <c r="U141" s="38"/>
    </row>
    <row r="142" spans="1:21" ht="14.5" x14ac:dyDescent="0.35">
      <c r="A142" s="47" t="str">
        <f>IF('Salesforce Dump'!A139&lt;&gt;"",'Salesforce Dump'!A139,"")</f>
        <v/>
      </c>
      <c r="B142" s="48"/>
      <c r="C142" s="49" t="str">
        <f>IF('Salesforce Dump'!B139&lt;&gt;"",'Salesforce Dump'!B139,"")</f>
        <v/>
      </c>
      <c r="D142" s="48"/>
      <c r="E142" s="50" t="str">
        <f>IF('Salesforce Dump'!C139&lt;&gt;"",'Salesforce Dump'!C139,"")</f>
        <v/>
      </c>
      <c r="F142" s="49" t="str">
        <f>IF('Salesforce Dump'!D139&lt;&gt;"",'Salesforce Dump'!D139,"")</f>
        <v/>
      </c>
      <c r="G142" s="49" t="str">
        <f>IF('Salesforce Dump'!E139&lt;&gt;"",'Salesforce Dump'!E139,"")</f>
        <v/>
      </c>
      <c r="H142" s="49" t="str">
        <f>IF('Salesforce Dump'!G139&lt;&gt;"",'Salesforce Dump'!G139,"")</f>
        <v/>
      </c>
      <c r="I142" s="49" t="str">
        <f>IF('Salesforce Dump'!H139&lt;&gt;"",'Salesforce Dump'!H139,"")</f>
        <v/>
      </c>
      <c r="J142" s="51" t="str">
        <f>IF('Salesforce Dump'!I139&lt;&gt;"",'Salesforce Dump'!I139,"")</f>
        <v/>
      </c>
      <c r="K142" s="51" t="str">
        <f>IF('Salesforce Dump'!J139&lt;&gt;"",'Salesforce Dump'!J139,"")</f>
        <v/>
      </c>
      <c r="L142" s="52" t="str">
        <f>IFERROR(INDEX('OBA Dump'!C:C,MATCH($E142*1,'OBA Dump'!$A:$A,0)),"")</f>
        <v/>
      </c>
      <c r="M142" s="52" t="str">
        <f>IFERROR(INDEX('OBA Dump'!D:D,MATCH($E142*1,'OBA Dump'!$A:$A,0)),"")</f>
        <v/>
      </c>
      <c r="N142" s="52"/>
      <c r="O142" s="52"/>
      <c r="P142" s="53"/>
      <c r="Q142" s="52"/>
      <c r="R142" s="38" t="str">
        <f>_xlfn.IFNA(VLOOKUP(E142,'Pre-Booked Holidays'!A:B,2,0),"")</f>
        <v/>
      </c>
      <c r="S142" s="38" t="str">
        <f>IF(E142="","",IF(IFERROR(VLOOKUP(E142,'Onbase Report'!D:E,2,0),"")&lt;&gt;"","Details in Onbase","No Details"))</f>
        <v/>
      </c>
      <c r="T142" s="38" t="str">
        <f>IF(LEFT('Salesforce Dump'!Q139,5)="BHX10",LEFT('Salesforce Dump'!Q139,5),LEFT('Salesforce Dump'!Q139,4))</f>
        <v/>
      </c>
      <c r="U142" s="38"/>
    </row>
    <row r="143" spans="1:21" ht="14.5" x14ac:dyDescent="0.35">
      <c r="A143" s="47" t="str">
        <f>IF('Salesforce Dump'!A140&lt;&gt;"",'Salesforce Dump'!A140,"")</f>
        <v/>
      </c>
      <c r="B143" s="48"/>
      <c r="C143" s="49" t="str">
        <f>IF('Salesforce Dump'!B140&lt;&gt;"",'Salesforce Dump'!B140,"")</f>
        <v/>
      </c>
      <c r="D143" s="48"/>
      <c r="E143" s="50" t="str">
        <f>IF('Salesforce Dump'!C140&lt;&gt;"",'Salesforce Dump'!C140,"")</f>
        <v/>
      </c>
      <c r="F143" s="49" t="str">
        <f>IF('Salesforce Dump'!D140&lt;&gt;"",'Salesforce Dump'!D140,"")</f>
        <v/>
      </c>
      <c r="G143" s="49" t="str">
        <f>IF('Salesforce Dump'!E140&lt;&gt;"",'Salesforce Dump'!E140,"")</f>
        <v/>
      </c>
      <c r="H143" s="49" t="str">
        <f>IF('Salesforce Dump'!G140&lt;&gt;"",'Salesforce Dump'!G140,"")</f>
        <v/>
      </c>
      <c r="I143" s="49" t="str">
        <f>IF('Salesforce Dump'!H140&lt;&gt;"",'Salesforce Dump'!H140,"")</f>
        <v/>
      </c>
      <c r="J143" s="51" t="str">
        <f>IF('Salesforce Dump'!I140&lt;&gt;"",'Salesforce Dump'!I140,"")</f>
        <v/>
      </c>
      <c r="K143" s="51" t="str">
        <f>IF('Salesforce Dump'!J140&lt;&gt;"",'Salesforce Dump'!J140,"")</f>
        <v/>
      </c>
      <c r="L143" s="52" t="str">
        <f>IFERROR(INDEX('OBA Dump'!C:C,MATCH($E143*1,'OBA Dump'!$A:$A,0)),"")</f>
        <v/>
      </c>
      <c r="M143" s="52" t="str">
        <f>IFERROR(INDEX('OBA Dump'!D:D,MATCH($E143*1,'OBA Dump'!$A:$A,0)),"")</f>
        <v/>
      </c>
      <c r="N143" s="52"/>
      <c r="O143" s="52"/>
      <c r="P143" s="53"/>
      <c r="Q143" s="52"/>
      <c r="R143" s="38" t="str">
        <f>_xlfn.IFNA(VLOOKUP(E143,'Pre-Booked Holidays'!A:B,2,0),"")</f>
        <v/>
      </c>
      <c r="S143" s="38" t="str">
        <f>IF(E143="","",IF(IFERROR(VLOOKUP(E143,'Onbase Report'!D:E,2,0),"")&lt;&gt;"","Details in Onbase","No Details"))</f>
        <v/>
      </c>
      <c r="T143" s="38" t="str">
        <f>IF(LEFT('Salesforce Dump'!Q140,5)="BHX10",LEFT('Salesforce Dump'!Q140,5),LEFT('Salesforce Dump'!Q140,4))</f>
        <v/>
      </c>
      <c r="U143" s="38"/>
    </row>
    <row r="144" spans="1:21" ht="14.5" x14ac:dyDescent="0.35">
      <c r="A144" s="47" t="str">
        <f>IF('Salesforce Dump'!A141&lt;&gt;"",'Salesforce Dump'!A141,"")</f>
        <v/>
      </c>
      <c r="B144" s="48"/>
      <c r="C144" s="49" t="str">
        <f>IF('Salesforce Dump'!B141&lt;&gt;"",'Salesforce Dump'!B141,"")</f>
        <v/>
      </c>
      <c r="D144" s="48"/>
      <c r="E144" s="50" t="str">
        <f>IF('Salesforce Dump'!C141&lt;&gt;"",'Salesforce Dump'!C141,"")</f>
        <v/>
      </c>
      <c r="F144" s="49" t="str">
        <f>IF('Salesforce Dump'!D141&lt;&gt;"",'Salesforce Dump'!D141,"")</f>
        <v/>
      </c>
      <c r="G144" s="49" t="str">
        <f>IF('Salesforce Dump'!E141&lt;&gt;"",'Salesforce Dump'!E141,"")</f>
        <v/>
      </c>
      <c r="H144" s="49" t="str">
        <f>IF('Salesforce Dump'!G141&lt;&gt;"",'Salesforce Dump'!G141,"")</f>
        <v/>
      </c>
      <c r="I144" s="49" t="str">
        <f>IF('Salesforce Dump'!H141&lt;&gt;"",'Salesforce Dump'!H141,"")</f>
        <v/>
      </c>
      <c r="J144" s="51" t="str">
        <f>IF('Salesforce Dump'!I141&lt;&gt;"",'Salesforce Dump'!I141,"")</f>
        <v/>
      </c>
      <c r="K144" s="51" t="str">
        <f>IF('Salesforce Dump'!J141&lt;&gt;"",'Salesforce Dump'!J141,"")</f>
        <v/>
      </c>
      <c r="L144" s="52" t="str">
        <f>IFERROR(INDEX('OBA Dump'!C:C,MATCH($E144*1,'OBA Dump'!$A:$A,0)),"")</f>
        <v/>
      </c>
      <c r="M144" s="52" t="str">
        <f>IFERROR(INDEX('OBA Dump'!D:D,MATCH($E144*1,'OBA Dump'!$A:$A,0)),"")</f>
        <v/>
      </c>
      <c r="N144" s="52"/>
      <c r="O144" s="52"/>
      <c r="P144" s="53"/>
      <c r="Q144" s="52"/>
      <c r="R144" s="38" t="str">
        <f>_xlfn.IFNA(VLOOKUP(E144,'Pre-Booked Holidays'!A:B,2,0),"")</f>
        <v/>
      </c>
      <c r="S144" s="38" t="str">
        <f>IF(E144="","",IF(IFERROR(VLOOKUP(E144,'Onbase Report'!D:E,2,0),"")&lt;&gt;"","Details in Onbase","No Details"))</f>
        <v/>
      </c>
      <c r="T144" s="38" t="str">
        <f>IF(LEFT('Salesforce Dump'!Q141,5)="BHX10",LEFT('Salesforce Dump'!Q141,5),LEFT('Salesforce Dump'!Q141,4))</f>
        <v/>
      </c>
      <c r="U144" s="38"/>
    </row>
    <row r="145" spans="1:21" ht="14.5" x14ac:dyDescent="0.35">
      <c r="A145" s="47" t="str">
        <f>IF('Salesforce Dump'!A142&lt;&gt;"",'Salesforce Dump'!A142,"")</f>
        <v/>
      </c>
      <c r="B145" s="48"/>
      <c r="C145" s="49" t="str">
        <f>IF('Salesforce Dump'!B142&lt;&gt;"",'Salesforce Dump'!B142,"")</f>
        <v/>
      </c>
      <c r="D145" s="48"/>
      <c r="E145" s="50" t="str">
        <f>IF('Salesforce Dump'!C142&lt;&gt;"",'Salesforce Dump'!C142,"")</f>
        <v/>
      </c>
      <c r="F145" s="49" t="str">
        <f>IF('Salesforce Dump'!D142&lt;&gt;"",'Salesforce Dump'!D142,"")</f>
        <v/>
      </c>
      <c r="G145" s="49" t="str">
        <f>IF('Salesforce Dump'!E142&lt;&gt;"",'Salesforce Dump'!E142,"")</f>
        <v/>
      </c>
      <c r="H145" s="49" t="str">
        <f>IF('Salesforce Dump'!G142&lt;&gt;"",'Salesforce Dump'!G142,"")</f>
        <v/>
      </c>
      <c r="I145" s="49" t="str">
        <f>IF('Salesforce Dump'!H142&lt;&gt;"",'Salesforce Dump'!H142,"")</f>
        <v/>
      </c>
      <c r="J145" s="51" t="str">
        <f>IF('Salesforce Dump'!I142&lt;&gt;"",'Salesforce Dump'!I142,"")</f>
        <v/>
      </c>
      <c r="K145" s="51" t="str">
        <f>IF('Salesforce Dump'!J142&lt;&gt;"",'Salesforce Dump'!J142,"")</f>
        <v/>
      </c>
      <c r="L145" s="52" t="str">
        <f>IFERROR(INDEX('OBA Dump'!C:C,MATCH($E145*1,'OBA Dump'!$A:$A,0)),"")</f>
        <v/>
      </c>
      <c r="M145" s="52" t="str">
        <f>IFERROR(INDEX('OBA Dump'!D:D,MATCH($E145*1,'OBA Dump'!$A:$A,0)),"")</f>
        <v/>
      </c>
      <c r="N145" s="52"/>
      <c r="O145" s="52"/>
      <c r="P145" s="53"/>
      <c r="Q145" s="52"/>
      <c r="R145" s="38" t="str">
        <f>_xlfn.IFNA(VLOOKUP(E145,'Pre-Booked Holidays'!A:B,2,0),"")</f>
        <v/>
      </c>
      <c r="S145" s="38" t="str">
        <f>IF(E145="","",IF(IFERROR(VLOOKUP(E145,'Onbase Report'!D:E,2,0),"")&lt;&gt;"","Details in Onbase","No Details"))</f>
        <v/>
      </c>
      <c r="T145" s="38" t="str">
        <f>IF(LEFT('Salesforce Dump'!Q142,5)="BHX10",LEFT('Salesforce Dump'!Q142,5),LEFT('Salesforce Dump'!Q142,4))</f>
        <v/>
      </c>
      <c r="U145" s="38"/>
    </row>
    <row r="146" spans="1:21" ht="14.5" x14ac:dyDescent="0.35">
      <c r="A146" s="47" t="str">
        <f>IF('Salesforce Dump'!A143&lt;&gt;"",'Salesforce Dump'!A143,"")</f>
        <v/>
      </c>
      <c r="B146" s="48"/>
      <c r="C146" s="49" t="str">
        <f>IF('Salesforce Dump'!B143&lt;&gt;"",'Salesforce Dump'!B143,"")</f>
        <v/>
      </c>
      <c r="D146" s="48"/>
      <c r="E146" s="50" t="str">
        <f>IF('Salesforce Dump'!C143&lt;&gt;"",'Salesforce Dump'!C143,"")</f>
        <v/>
      </c>
      <c r="F146" s="49" t="str">
        <f>IF('Salesforce Dump'!D143&lt;&gt;"",'Salesforce Dump'!D143,"")</f>
        <v/>
      </c>
      <c r="G146" s="49" t="str">
        <f>IF('Salesforce Dump'!E143&lt;&gt;"",'Salesforce Dump'!E143,"")</f>
        <v/>
      </c>
      <c r="H146" s="49" t="str">
        <f>IF('Salesforce Dump'!G143&lt;&gt;"",'Salesforce Dump'!G143,"")</f>
        <v/>
      </c>
      <c r="I146" s="49" t="str">
        <f>IF('Salesforce Dump'!H143&lt;&gt;"",'Salesforce Dump'!H143,"")</f>
        <v/>
      </c>
      <c r="J146" s="51" t="str">
        <f>IF('Salesforce Dump'!I143&lt;&gt;"",'Salesforce Dump'!I143,"")</f>
        <v/>
      </c>
      <c r="K146" s="51" t="str">
        <f>IF('Salesforce Dump'!J143&lt;&gt;"",'Salesforce Dump'!J143,"")</f>
        <v/>
      </c>
      <c r="L146" s="52" t="str">
        <f>IFERROR(INDEX('OBA Dump'!C:C,MATCH($E146*1,'OBA Dump'!$A:$A,0)),"")</f>
        <v/>
      </c>
      <c r="M146" s="52" t="str">
        <f>IFERROR(INDEX('OBA Dump'!D:D,MATCH($E146*1,'OBA Dump'!$A:$A,0)),"")</f>
        <v/>
      </c>
      <c r="N146" s="52"/>
      <c r="O146" s="52"/>
      <c r="P146" s="53"/>
      <c r="Q146" s="52"/>
      <c r="R146" s="38" t="str">
        <f>_xlfn.IFNA(VLOOKUP(E146,'Pre-Booked Holidays'!A:B,2,0),"")</f>
        <v/>
      </c>
      <c r="S146" s="38" t="str">
        <f>IF(E146="","",IF(IFERROR(VLOOKUP(E146,'Onbase Report'!D:E,2,0),"")&lt;&gt;"","Details in Onbase","No Details"))</f>
        <v/>
      </c>
      <c r="T146" s="38" t="str">
        <f>IF(LEFT('Salesforce Dump'!Q143,5)="BHX10",LEFT('Salesforce Dump'!Q143,5),LEFT('Salesforce Dump'!Q143,4))</f>
        <v/>
      </c>
      <c r="U146" s="38"/>
    </row>
    <row r="147" spans="1:21" ht="14.5" x14ac:dyDescent="0.35">
      <c r="A147" s="47" t="str">
        <f>IF('Salesforce Dump'!A144&lt;&gt;"",'Salesforce Dump'!A144,"")</f>
        <v/>
      </c>
      <c r="B147" s="48"/>
      <c r="C147" s="49" t="str">
        <f>IF('Salesforce Dump'!B144&lt;&gt;"",'Salesforce Dump'!B144,"")</f>
        <v/>
      </c>
      <c r="D147" s="48"/>
      <c r="E147" s="50" t="str">
        <f>IF('Salesforce Dump'!C144&lt;&gt;"",'Salesforce Dump'!C144,"")</f>
        <v/>
      </c>
      <c r="F147" s="49" t="str">
        <f>IF('Salesforce Dump'!D144&lt;&gt;"",'Salesforce Dump'!D144,"")</f>
        <v/>
      </c>
      <c r="G147" s="49" t="str">
        <f>IF('Salesforce Dump'!E144&lt;&gt;"",'Salesforce Dump'!E144,"")</f>
        <v/>
      </c>
      <c r="H147" s="49" t="str">
        <f>IF('Salesforce Dump'!G144&lt;&gt;"",'Salesforce Dump'!G144,"")</f>
        <v/>
      </c>
      <c r="I147" s="49" t="str">
        <f>IF('Salesforce Dump'!H144&lt;&gt;"",'Salesforce Dump'!H144,"")</f>
        <v/>
      </c>
      <c r="J147" s="51" t="str">
        <f>IF('Salesforce Dump'!I144&lt;&gt;"",'Salesforce Dump'!I144,"")</f>
        <v/>
      </c>
      <c r="K147" s="51" t="str">
        <f>IF('Salesforce Dump'!J144&lt;&gt;"",'Salesforce Dump'!J144,"")</f>
        <v/>
      </c>
      <c r="L147" s="52" t="str">
        <f>IFERROR(INDEX('OBA Dump'!C:C,MATCH($E147*1,'OBA Dump'!$A:$A,0)),"")</f>
        <v/>
      </c>
      <c r="M147" s="52" t="str">
        <f>IFERROR(INDEX('OBA Dump'!D:D,MATCH($E147*1,'OBA Dump'!$A:$A,0)),"")</f>
        <v/>
      </c>
      <c r="N147" s="52"/>
      <c r="O147" s="52"/>
      <c r="P147" s="53"/>
      <c r="Q147" s="52"/>
      <c r="R147" s="38" t="str">
        <f>_xlfn.IFNA(VLOOKUP(E147,'Pre-Booked Holidays'!A:B,2,0),"")</f>
        <v/>
      </c>
      <c r="S147" s="38" t="str">
        <f>IF(E147="","",IF(IFERROR(VLOOKUP(E147,'Onbase Report'!D:E,2,0),"")&lt;&gt;"","Details in Onbase","No Details"))</f>
        <v/>
      </c>
      <c r="T147" s="38" t="str">
        <f>IF(LEFT('Salesforce Dump'!Q144,5)="BHX10",LEFT('Salesforce Dump'!Q144,5),LEFT('Salesforce Dump'!Q144,4))</f>
        <v/>
      </c>
      <c r="U147" s="38"/>
    </row>
    <row r="148" spans="1:21" ht="14.5" x14ac:dyDescent="0.35">
      <c r="A148" s="47" t="str">
        <f>IF('Salesforce Dump'!A145&lt;&gt;"",'Salesforce Dump'!A145,"")</f>
        <v/>
      </c>
      <c r="B148" s="48"/>
      <c r="C148" s="49" t="str">
        <f>IF('Salesforce Dump'!B145&lt;&gt;"",'Salesforce Dump'!B145,"")</f>
        <v/>
      </c>
      <c r="D148" s="48"/>
      <c r="E148" s="50" t="str">
        <f>IF('Salesforce Dump'!C145&lt;&gt;"",'Salesforce Dump'!C145,"")</f>
        <v/>
      </c>
      <c r="F148" s="49" t="str">
        <f>IF('Salesforce Dump'!D145&lt;&gt;"",'Salesforce Dump'!D145,"")</f>
        <v/>
      </c>
      <c r="G148" s="49" t="str">
        <f>IF('Salesforce Dump'!E145&lt;&gt;"",'Salesforce Dump'!E145,"")</f>
        <v/>
      </c>
      <c r="H148" s="49" t="str">
        <f>IF('Salesforce Dump'!G145&lt;&gt;"",'Salesforce Dump'!G145,"")</f>
        <v/>
      </c>
      <c r="I148" s="49" t="str">
        <f>IF('Salesforce Dump'!H145&lt;&gt;"",'Salesforce Dump'!H145,"")</f>
        <v/>
      </c>
      <c r="J148" s="51" t="str">
        <f>IF('Salesforce Dump'!I145&lt;&gt;"",'Salesforce Dump'!I145,"")</f>
        <v/>
      </c>
      <c r="K148" s="51" t="str">
        <f>IF('Salesforce Dump'!J145&lt;&gt;"",'Salesforce Dump'!J145,"")</f>
        <v/>
      </c>
      <c r="L148" s="52" t="str">
        <f>IFERROR(INDEX('OBA Dump'!C:C,MATCH($E148*1,'OBA Dump'!$A:$A,0)),"")</f>
        <v/>
      </c>
      <c r="M148" s="52" t="str">
        <f>IFERROR(INDEX('OBA Dump'!D:D,MATCH($E148*1,'OBA Dump'!$A:$A,0)),"")</f>
        <v/>
      </c>
      <c r="N148" s="52"/>
      <c r="O148" s="52"/>
      <c r="P148" s="53"/>
      <c r="Q148" s="52"/>
      <c r="R148" s="38" t="str">
        <f>_xlfn.IFNA(VLOOKUP(E148,'Pre-Booked Holidays'!A:B,2,0),"")</f>
        <v/>
      </c>
      <c r="S148" s="38" t="str">
        <f>IF(E148="","",IF(IFERROR(VLOOKUP(E148,'Onbase Report'!D:E,2,0),"")&lt;&gt;"","Details in Onbase","No Details"))</f>
        <v/>
      </c>
      <c r="T148" s="38" t="str">
        <f>IF(LEFT('Salesforce Dump'!Q145,5)="BHX10",LEFT('Salesforce Dump'!Q145,5),LEFT('Salesforce Dump'!Q145,4))</f>
        <v/>
      </c>
      <c r="U148" s="38"/>
    </row>
    <row r="149" spans="1:21" ht="14.5" x14ac:dyDescent="0.35">
      <c r="A149" s="47" t="str">
        <f>IF('Salesforce Dump'!A146&lt;&gt;"",'Salesforce Dump'!A146,"")</f>
        <v/>
      </c>
      <c r="B149" s="48"/>
      <c r="C149" s="49" t="str">
        <f>IF('Salesforce Dump'!B146&lt;&gt;"",'Salesforce Dump'!B146,"")</f>
        <v/>
      </c>
      <c r="D149" s="48"/>
      <c r="E149" s="50" t="str">
        <f>IF('Salesforce Dump'!C146&lt;&gt;"",'Salesforce Dump'!C146,"")</f>
        <v/>
      </c>
      <c r="F149" s="49" t="str">
        <f>IF('Salesforce Dump'!D146&lt;&gt;"",'Salesforce Dump'!D146,"")</f>
        <v/>
      </c>
      <c r="G149" s="49" t="str">
        <f>IF('Salesforce Dump'!E146&lt;&gt;"",'Salesforce Dump'!E146,"")</f>
        <v/>
      </c>
      <c r="H149" s="49" t="str">
        <f>IF('Salesforce Dump'!G146&lt;&gt;"",'Salesforce Dump'!G146,"")</f>
        <v/>
      </c>
      <c r="I149" s="49" t="str">
        <f>IF('Salesforce Dump'!H146&lt;&gt;"",'Salesforce Dump'!H146,"")</f>
        <v/>
      </c>
      <c r="J149" s="51" t="str">
        <f>IF('Salesforce Dump'!I146&lt;&gt;"",'Salesforce Dump'!I146,"")</f>
        <v/>
      </c>
      <c r="K149" s="51" t="str">
        <f>IF('Salesforce Dump'!J146&lt;&gt;"",'Salesforce Dump'!J146,"")</f>
        <v/>
      </c>
      <c r="L149" s="52" t="str">
        <f>IFERROR(INDEX('OBA Dump'!C:C,MATCH($E149*1,'OBA Dump'!$A:$A,0)),"")</f>
        <v/>
      </c>
      <c r="M149" s="52" t="str">
        <f>IFERROR(INDEX('OBA Dump'!D:D,MATCH($E149*1,'OBA Dump'!$A:$A,0)),"")</f>
        <v/>
      </c>
      <c r="N149" s="52"/>
      <c r="O149" s="52"/>
      <c r="P149" s="53"/>
      <c r="Q149" s="52"/>
      <c r="R149" s="38" t="str">
        <f>_xlfn.IFNA(VLOOKUP(E149,'Pre-Booked Holidays'!A:B,2,0),"")</f>
        <v/>
      </c>
      <c r="S149" s="38" t="str">
        <f>IF(E149="","",IF(IFERROR(VLOOKUP(E149,'Onbase Report'!D:E,2,0),"")&lt;&gt;"","Details in Onbase","No Details"))</f>
        <v/>
      </c>
      <c r="T149" s="38" t="str">
        <f>IF(LEFT('Salesforce Dump'!Q146,5)="BHX10",LEFT('Salesforce Dump'!Q146,5),LEFT('Salesforce Dump'!Q146,4))</f>
        <v/>
      </c>
      <c r="U149" s="38"/>
    </row>
    <row r="150" spans="1:21" ht="14.5" x14ac:dyDescent="0.35">
      <c r="A150" s="47" t="str">
        <f>IF('Salesforce Dump'!A147&lt;&gt;"",'Salesforce Dump'!A147,"")</f>
        <v/>
      </c>
      <c r="B150" s="48"/>
      <c r="C150" s="49" t="str">
        <f>IF('Salesforce Dump'!B147&lt;&gt;"",'Salesforce Dump'!B147,"")</f>
        <v/>
      </c>
      <c r="D150" s="48"/>
      <c r="E150" s="50" t="str">
        <f>IF('Salesforce Dump'!C147&lt;&gt;"",'Salesforce Dump'!C147,"")</f>
        <v/>
      </c>
      <c r="F150" s="49" t="str">
        <f>IF('Salesforce Dump'!D147&lt;&gt;"",'Salesforce Dump'!D147,"")</f>
        <v/>
      </c>
      <c r="G150" s="49" t="str">
        <f>IF('Salesforce Dump'!E147&lt;&gt;"",'Salesforce Dump'!E147,"")</f>
        <v/>
      </c>
      <c r="H150" s="49" t="str">
        <f>IF('Salesforce Dump'!G147&lt;&gt;"",'Salesforce Dump'!G147,"")</f>
        <v/>
      </c>
      <c r="I150" s="49" t="str">
        <f>IF('Salesforce Dump'!H147&lt;&gt;"",'Salesforce Dump'!H147,"")</f>
        <v/>
      </c>
      <c r="J150" s="51" t="str">
        <f>IF('Salesforce Dump'!I147&lt;&gt;"",'Salesforce Dump'!I147,"")</f>
        <v/>
      </c>
      <c r="K150" s="51" t="str">
        <f>IF('Salesforce Dump'!J147&lt;&gt;"",'Salesforce Dump'!J147,"")</f>
        <v/>
      </c>
      <c r="L150" s="52" t="str">
        <f>IFERROR(INDEX('OBA Dump'!C:C,MATCH($E150*1,'OBA Dump'!$A:$A,0)),"")</f>
        <v/>
      </c>
      <c r="M150" s="52" t="str">
        <f>IFERROR(INDEX('OBA Dump'!D:D,MATCH($E150*1,'OBA Dump'!$A:$A,0)),"")</f>
        <v/>
      </c>
      <c r="N150" s="52"/>
      <c r="O150" s="52"/>
      <c r="P150" s="53"/>
      <c r="Q150" s="52"/>
      <c r="R150" s="38" t="str">
        <f>_xlfn.IFNA(VLOOKUP(E150,'Pre-Booked Holidays'!A:B,2,0),"")</f>
        <v/>
      </c>
      <c r="S150" s="38" t="str">
        <f>IF(E150="","",IF(IFERROR(VLOOKUP(E150,'Onbase Report'!D:E,2,0),"")&lt;&gt;"","Details in Onbase","No Details"))</f>
        <v/>
      </c>
      <c r="T150" s="38" t="str">
        <f>IF(LEFT('Salesforce Dump'!Q147,5)="BHX10",LEFT('Salesforce Dump'!Q147,5),LEFT('Salesforce Dump'!Q147,4))</f>
        <v/>
      </c>
      <c r="U150" s="38"/>
    </row>
    <row r="151" spans="1:21" ht="14.5" x14ac:dyDescent="0.35">
      <c r="A151" s="47" t="str">
        <f>IF('Salesforce Dump'!A148&lt;&gt;"",'Salesforce Dump'!A148,"")</f>
        <v/>
      </c>
      <c r="B151" s="48"/>
      <c r="C151" s="49" t="str">
        <f>IF('Salesforce Dump'!B148&lt;&gt;"",'Salesforce Dump'!B148,"")</f>
        <v/>
      </c>
      <c r="D151" s="48"/>
      <c r="E151" s="50" t="str">
        <f>IF('Salesforce Dump'!C148&lt;&gt;"",'Salesforce Dump'!C148,"")</f>
        <v/>
      </c>
      <c r="F151" s="49" t="str">
        <f>IF('Salesforce Dump'!D148&lt;&gt;"",'Salesforce Dump'!D148,"")</f>
        <v/>
      </c>
      <c r="G151" s="49" t="str">
        <f>IF('Salesforce Dump'!E148&lt;&gt;"",'Salesforce Dump'!E148,"")</f>
        <v/>
      </c>
      <c r="H151" s="49" t="str">
        <f>IF('Salesforce Dump'!G148&lt;&gt;"",'Salesforce Dump'!G148,"")</f>
        <v/>
      </c>
      <c r="I151" s="49" t="str">
        <f>IF('Salesforce Dump'!H148&lt;&gt;"",'Salesforce Dump'!H148,"")</f>
        <v/>
      </c>
      <c r="J151" s="51" t="str">
        <f>IF('Salesforce Dump'!I148&lt;&gt;"",'Salesforce Dump'!I148,"")</f>
        <v/>
      </c>
      <c r="K151" s="51" t="str">
        <f>IF('Salesforce Dump'!J148&lt;&gt;"",'Salesforce Dump'!J148,"")</f>
        <v/>
      </c>
      <c r="L151" s="52" t="str">
        <f>IFERROR(INDEX('OBA Dump'!C:C,MATCH($E151*1,'OBA Dump'!$A:$A,0)),"")</f>
        <v/>
      </c>
      <c r="M151" s="52" t="str">
        <f>IFERROR(INDEX('OBA Dump'!D:D,MATCH($E151*1,'OBA Dump'!$A:$A,0)),"")</f>
        <v/>
      </c>
      <c r="N151" s="52"/>
      <c r="O151" s="52"/>
      <c r="P151" s="53"/>
      <c r="Q151" s="52"/>
      <c r="R151" s="38" t="str">
        <f>_xlfn.IFNA(VLOOKUP(E151,'Pre-Booked Holidays'!A:B,2,0),"")</f>
        <v/>
      </c>
      <c r="S151" s="38" t="str">
        <f>IF(E151="","",IF(IFERROR(VLOOKUP(E151,'Onbase Report'!D:E,2,0),"")&lt;&gt;"","Details in Onbase","No Details"))</f>
        <v/>
      </c>
      <c r="T151" s="38" t="str">
        <f>IF(LEFT('Salesforce Dump'!Q148,5)="BHX10",LEFT('Salesforce Dump'!Q148,5),LEFT('Salesforce Dump'!Q148,4))</f>
        <v/>
      </c>
      <c r="U151" s="38"/>
    </row>
    <row r="152" spans="1:21" ht="14.5" x14ac:dyDescent="0.35">
      <c r="A152" s="47" t="str">
        <f>IF('Salesforce Dump'!A149&lt;&gt;"",'Salesforce Dump'!A149,"")</f>
        <v/>
      </c>
      <c r="B152" s="48"/>
      <c r="C152" s="49" t="str">
        <f>IF('Salesforce Dump'!B149&lt;&gt;"",'Salesforce Dump'!B149,"")</f>
        <v/>
      </c>
      <c r="D152" s="48"/>
      <c r="E152" s="50" t="str">
        <f>IF('Salesforce Dump'!C149&lt;&gt;"",'Salesforce Dump'!C149,"")</f>
        <v/>
      </c>
      <c r="F152" s="49" t="str">
        <f>IF('Salesforce Dump'!D149&lt;&gt;"",'Salesforce Dump'!D149,"")</f>
        <v/>
      </c>
      <c r="G152" s="49" t="str">
        <f>IF('Salesforce Dump'!E149&lt;&gt;"",'Salesforce Dump'!E149,"")</f>
        <v/>
      </c>
      <c r="H152" s="49" t="str">
        <f>IF('Salesforce Dump'!G149&lt;&gt;"",'Salesforce Dump'!G149,"")</f>
        <v/>
      </c>
      <c r="I152" s="49" t="str">
        <f>IF('Salesforce Dump'!H149&lt;&gt;"",'Salesforce Dump'!H149,"")</f>
        <v/>
      </c>
      <c r="J152" s="51" t="str">
        <f>IF('Salesforce Dump'!I149&lt;&gt;"",'Salesforce Dump'!I149,"")</f>
        <v/>
      </c>
      <c r="K152" s="51" t="str">
        <f>IF('Salesforce Dump'!J149&lt;&gt;"",'Salesforce Dump'!J149,"")</f>
        <v/>
      </c>
      <c r="L152" s="52" t="str">
        <f>IFERROR(INDEX('OBA Dump'!C:C,MATCH($E152*1,'OBA Dump'!$A:$A,0)),"")</f>
        <v/>
      </c>
      <c r="M152" s="52" t="str">
        <f>IFERROR(INDEX('OBA Dump'!D:D,MATCH($E152*1,'OBA Dump'!$A:$A,0)),"")</f>
        <v/>
      </c>
      <c r="N152" s="52"/>
      <c r="O152" s="52"/>
      <c r="P152" s="53"/>
      <c r="Q152" s="52"/>
      <c r="R152" s="38" t="str">
        <f>_xlfn.IFNA(VLOOKUP(E152,'Pre-Booked Holidays'!A:B,2,0),"")</f>
        <v/>
      </c>
      <c r="S152" s="38" t="str">
        <f>IF(E152="","",IF(IFERROR(VLOOKUP(E152,'Onbase Report'!D:E,2,0),"")&lt;&gt;"","Details in Onbase","No Details"))</f>
        <v/>
      </c>
      <c r="T152" s="38" t="str">
        <f>IF(LEFT('Salesforce Dump'!Q149,5)="BHX10",LEFT('Salesforce Dump'!Q149,5),LEFT('Salesforce Dump'!Q149,4))</f>
        <v/>
      </c>
      <c r="U152" s="38"/>
    </row>
    <row r="153" spans="1:21" ht="14.5" x14ac:dyDescent="0.35">
      <c r="A153" s="47" t="str">
        <f>IF('Salesforce Dump'!A150&lt;&gt;"",'Salesforce Dump'!A150,"")</f>
        <v/>
      </c>
      <c r="B153" s="48"/>
      <c r="C153" s="49" t="str">
        <f>IF('Salesforce Dump'!B150&lt;&gt;"",'Salesforce Dump'!B150,"")</f>
        <v/>
      </c>
      <c r="D153" s="48"/>
      <c r="E153" s="50" t="str">
        <f>IF('Salesforce Dump'!C150&lt;&gt;"",'Salesforce Dump'!C150,"")</f>
        <v/>
      </c>
      <c r="F153" s="49" t="str">
        <f>IF('Salesforce Dump'!D150&lt;&gt;"",'Salesforce Dump'!D150,"")</f>
        <v/>
      </c>
      <c r="G153" s="49" t="str">
        <f>IF('Salesforce Dump'!E150&lt;&gt;"",'Salesforce Dump'!E150,"")</f>
        <v/>
      </c>
      <c r="H153" s="49" t="str">
        <f>IF('Salesforce Dump'!G150&lt;&gt;"",'Salesforce Dump'!G150,"")</f>
        <v/>
      </c>
      <c r="I153" s="49" t="str">
        <f>IF('Salesforce Dump'!H150&lt;&gt;"",'Salesforce Dump'!H150,"")</f>
        <v/>
      </c>
      <c r="J153" s="51" t="str">
        <f>IF('Salesforce Dump'!I150&lt;&gt;"",'Salesforce Dump'!I150,"")</f>
        <v/>
      </c>
      <c r="K153" s="51" t="str">
        <f>IF('Salesforce Dump'!J150&lt;&gt;"",'Salesforce Dump'!J150,"")</f>
        <v/>
      </c>
      <c r="L153" s="52" t="str">
        <f>IFERROR(INDEX('OBA Dump'!C:C,MATCH($E153*1,'OBA Dump'!$A:$A,0)),"")</f>
        <v/>
      </c>
      <c r="M153" s="52" t="str">
        <f>IFERROR(INDEX('OBA Dump'!D:D,MATCH($E153*1,'OBA Dump'!$A:$A,0)),"")</f>
        <v/>
      </c>
      <c r="N153" s="52"/>
      <c r="O153" s="52"/>
      <c r="P153" s="53"/>
      <c r="Q153" s="52"/>
      <c r="R153" s="38" t="str">
        <f>_xlfn.IFNA(VLOOKUP(E153,'Pre-Booked Holidays'!A:B,2,0),"")</f>
        <v/>
      </c>
      <c r="S153" s="38" t="str">
        <f>IF(E153="","",IF(IFERROR(VLOOKUP(E153,'Onbase Report'!D:E,2,0),"")&lt;&gt;"","Details in Onbase","No Details"))</f>
        <v/>
      </c>
      <c r="T153" s="38" t="str">
        <f>IF(LEFT('Salesforce Dump'!Q150,5)="BHX10",LEFT('Salesforce Dump'!Q150,5),LEFT('Salesforce Dump'!Q150,4))</f>
        <v/>
      </c>
      <c r="U153" s="38"/>
    </row>
    <row r="154" spans="1:21" ht="14.5" x14ac:dyDescent="0.35">
      <c r="A154" s="47" t="str">
        <f>IF('Salesforce Dump'!A151&lt;&gt;"",'Salesforce Dump'!A151,"")</f>
        <v/>
      </c>
      <c r="B154" s="48"/>
      <c r="C154" s="49" t="str">
        <f>IF('Salesforce Dump'!B151&lt;&gt;"",'Salesforce Dump'!B151,"")</f>
        <v/>
      </c>
      <c r="D154" s="48"/>
      <c r="E154" s="50" t="str">
        <f>IF('Salesforce Dump'!C151&lt;&gt;"",'Salesforce Dump'!C151,"")</f>
        <v/>
      </c>
      <c r="F154" s="49" t="str">
        <f>IF('Salesforce Dump'!D151&lt;&gt;"",'Salesforce Dump'!D151,"")</f>
        <v/>
      </c>
      <c r="G154" s="49" t="str">
        <f>IF('Salesforce Dump'!E151&lt;&gt;"",'Salesforce Dump'!E151,"")</f>
        <v/>
      </c>
      <c r="H154" s="49" t="str">
        <f>IF('Salesforce Dump'!G151&lt;&gt;"",'Salesforce Dump'!G151,"")</f>
        <v/>
      </c>
      <c r="I154" s="49" t="str">
        <f>IF('Salesforce Dump'!H151&lt;&gt;"",'Salesforce Dump'!H151,"")</f>
        <v/>
      </c>
      <c r="J154" s="51" t="str">
        <f>IF('Salesforce Dump'!I151&lt;&gt;"",'Salesforce Dump'!I151,"")</f>
        <v/>
      </c>
      <c r="K154" s="51" t="str">
        <f>IF('Salesforce Dump'!J151&lt;&gt;"",'Salesforce Dump'!J151,"")</f>
        <v/>
      </c>
      <c r="L154" s="52" t="str">
        <f>IFERROR(INDEX('OBA Dump'!C:C,MATCH($E154*1,'OBA Dump'!$A:$A,0)),"")</f>
        <v/>
      </c>
      <c r="M154" s="52" t="str">
        <f>IFERROR(INDEX('OBA Dump'!D:D,MATCH($E154*1,'OBA Dump'!$A:$A,0)),"")</f>
        <v/>
      </c>
      <c r="N154" s="52"/>
      <c r="O154" s="52"/>
      <c r="P154" s="53"/>
      <c r="Q154" s="52"/>
      <c r="R154" s="38" t="str">
        <f>_xlfn.IFNA(VLOOKUP(E154,'Pre-Booked Holidays'!A:B,2,0),"")</f>
        <v/>
      </c>
      <c r="S154" s="38" t="str">
        <f>IF(E154="","",IF(IFERROR(VLOOKUP(E154,'Onbase Report'!D:E,2,0),"")&lt;&gt;"","Details in Onbase","No Details"))</f>
        <v/>
      </c>
      <c r="T154" s="38" t="str">
        <f>IF(LEFT('Salesforce Dump'!Q151,5)="BHX10",LEFT('Salesforce Dump'!Q151,5),LEFT('Salesforce Dump'!Q151,4))</f>
        <v/>
      </c>
      <c r="U154" s="38"/>
    </row>
    <row r="155" spans="1:21" ht="14.5" x14ac:dyDescent="0.35">
      <c r="A155" s="47" t="str">
        <f>IF('Salesforce Dump'!A152&lt;&gt;"",'Salesforce Dump'!A152,"")</f>
        <v/>
      </c>
      <c r="B155" s="48"/>
      <c r="C155" s="49" t="str">
        <f>IF('Salesforce Dump'!B152&lt;&gt;"",'Salesforce Dump'!B152,"")</f>
        <v/>
      </c>
      <c r="D155" s="48"/>
      <c r="E155" s="50" t="str">
        <f>IF('Salesforce Dump'!C152&lt;&gt;"",'Salesforce Dump'!C152,"")</f>
        <v/>
      </c>
      <c r="F155" s="49" t="str">
        <f>IF('Salesforce Dump'!D152&lt;&gt;"",'Salesforce Dump'!D152,"")</f>
        <v/>
      </c>
      <c r="G155" s="49" t="str">
        <f>IF('Salesforce Dump'!E152&lt;&gt;"",'Salesforce Dump'!E152,"")</f>
        <v/>
      </c>
      <c r="H155" s="49" t="str">
        <f>IF('Salesforce Dump'!G152&lt;&gt;"",'Salesforce Dump'!G152,"")</f>
        <v/>
      </c>
      <c r="I155" s="49" t="str">
        <f>IF('Salesforce Dump'!H152&lt;&gt;"",'Salesforce Dump'!H152,"")</f>
        <v/>
      </c>
      <c r="J155" s="51" t="str">
        <f>IF('Salesforce Dump'!I152&lt;&gt;"",'Salesforce Dump'!I152,"")</f>
        <v/>
      </c>
      <c r="K155" s="51" t="str">
        <f>IF('Salesforce Dump'!J152&lt;&gt;"",'Salesforce Dump'!J152,"")</f>
        <v/>
      </c>
      <c r="L155" s="52" t="str">
        <f>IFERROR(INDEX('OBA Dump'!C:C,MATCH($E155*1,'OBA Dump'!$A:$A,0)),"")</f>
        <v/>
      </c>
      <c r="M155" s="52" t="str">
        <f>IFERROR(INDEX('OBA Dump'!D:D,MATCH($E155*1,'OBA Dump'!$A:$A,0)),"")</f>
        <v/>
      </c>
      <c r="N155" s="52"/>
      <c r="O155" s="52"/>
      <c r="P155" s="53"/>
      <c r="Q155" s="52"/>
      <c r="R155" s="38" t="str">
        <f>_xlfn.IFNA(VLOOKUP(E155,'Pre-Booked Holidays'!A:B,2,0),"")</f>
        <v/>
      </c>
      <c r="S155" s="38" t="str">
        <f>IF(E155="","",IF(IFERROR(VLOOKUP(E155,'Onbase Report'!D:E,2,0),"")&lt;&gt;"","Details in Onbase","No Details"))</f>
        <v/>
      </c>
      <c r="T155" s="38" t="str">
        <f>IF(LEFT('Salesforce Dump'!Q152,5)="BHX10",LEFT('Salesforce Dump'!Q152,5),LEFT('Salesforce Dump'!Q152,4))</f>
        <v/>
      </c>
      <c r="U155" s="38"/>
    </row>
    <row r="156" spans="1:21" ht="14.5" x14ac:dyDescent="0.35">
      <c r="A156" s="47" t="str">
        <f>IF('Salesforce Dump'!A153&lt;&gt;"",'Salesforce Dump'!A153,"")</f>
        <v/>
      </c>
      <c r="B156" s="48"/>
      <c r="C156" s="49" t="str">
        <f>IF('Salesforce Dump'!B153&lt;&gt;"",'Salesforce Dump'!B153,"")</f>
        <v/>
      </c>
      <c r="D156" s="48"/>
      <c r="E156" s="50" t="str">
        <f>IF('Salesforce Dump'!C153&lt;&gt;"",'Salesforce Dump'!C153,"")</f>
        <v/>
      </c>
      <c r="F156" s="49" t="str">
        <f>IF('Salesforce Dump'!D153&lt;&gt;"",'Salesforce Dump'!D153,"")</f>
        <v/>
      </c>
      <c r="G156" s="49" t="str">
        <f>IF('Salesforce Dump'!E153&lt;&gt;"",'Salesforce Dump'!E153,"")</f>
        <v/>
      </c>
      <c r="H156" s="49" t="str">
        <f>IF('Salesforce Dump'!G153&lt;&gt;"",'Salesforce Dump'!G153,"")</f>
        <v/>
      </c>
      <c r="I156" s="49" t="str">
        <f>IF('Salesforce Dump'!H153&lt;&gt;"",'Salesforce Dump'!H153,"")</f>
        <v/>
      </c>
      <c r="J156" s="51" t="str">
        <f>IF('Salesforce Dump'!I153&lt;&gt;"",'Salesforce Dump'!I153,"")</f>
        <v/>
      </c>
      <c r="K156" s="51" t="str">
        <f>IF('Salesforce Dump'!J153&lt;&gt;"",'Salesforce Dump'!J153,"")</f>
        <v/>
      </c>
      <c r="L156" s="52" t="str">
        <f>IFERROR(INDEX('OBA Dump'!C:C,MATCH($E156*1,'OBA Dump'!$A:$A,0)),"")</f>
        <v/>
      </c>
      <c r="M156" s="52" t="str">
        <f>IFERROR(INDEX('OBA Dump'!D:D,MATCH($E156*1,'OBA Dump'!$A:$A,0)),"")</f>
        <v/>
      </c>
      <c r="N156" s="52"/>
      <c r="O156" s="52"/>
      <c r="P156" s="53"/>
      <c r="Q156" s="52"/>
      <c r="R156" s="38" t="str">
        <f>_xlfn.IFNA(VLOOKUP(E156,'Pre-Booked Holidays'!A:B,2,0),"")</f>
        <v/>
      </c>
      <c r="S156" s="38" t="str">
        <f>IF(E156="","",IF(IFERROR(VLOOKUP(E156,'Onbase Report'!D:E,2,0),"")&lt;&gt;"","Details in Onbase","No Details"))</f>
        <v/>
      </c>
      <c r="T156" s="38" t="str">
        <f>IF(LEFT('Salesforce Dump'!Q153,5)="BHX10",LEFT('Salesforce Dump'!Q153,5),LEFT('Salesforce Dump'!Q153,4))</f>
        <v/>
      </c>
      <c r="U156" s="38"/>
    </row>
    <row r="157" spans="1:21" ht="14.5" x14ac:dyDescent="0.35">
      <c r="A157" s="47" t="str">
        <f>IF('Salesforce Dump'!A154&lt;&gt;"",'Salesforce Dump'!A154,"")</f>
        <v/>
      </c>
      <c r="B157" s="48"/>
      <c r="C157" s="49" t="str">
        <f>IF('Salesforce Dump'!B154&lt;&gt;"",'Salesforce Dump'!B154,"")</f>
        <v/>
      </c>
      <c r="D157" s="48"/>
      <c r="E157" s="50" t="str">
        <f>IF('Salesforce Dump'!C154&lt;&gt;"",'Salesforce Dump'!C154,"")</f>
        <v/>
      </c>
      <c r="F157" s="49" t="str">
        <f>IF('Salesforce Dump'!D154&lt;&gt;"",'Salesforce Dump'!D154,"")</f>
        <v/>
      </c>
      <c r="G157" s="49" t="str">
        <f>IF('Salesforce Dump'!E154&lt;&gt;"",'Salesforce Dump'!E154,"")</f>
        <v/>
      </c>
      <c r="H157" s="49" t="str">
        <f>IF('Salesforce Dump'!G154&lt;&gt;"",'Salesforce Dump'!G154,"")</f>
        <v/>
      </c>
      <c r="I157" s="49" t="str">
        <f>IF('Salesforce Dump'!H154&lt;&gt;"",'Salesforce Dump'!H154,"")</f>
        <v/>
      </c>
      <c r="J157" s="51" t="str">
        <f>IF('Salesforce Dump'!I154&lt;&gt;"",'Salesforce Dump'!I154,"")</f>
        <v/>
      </c>
      <c r="K157" s="51" t="str">
        <f>IF('Salesforce Dump'!J154&lt;&gt;"",'Salesforce Dump'!J154,"")</f>
        <v/>
      </c>
      <c r="L157" s="52" t="str">
        <f>IFERROR(INDEX('OBA Dump'!C:C,MATCH($E157*1,'OBA Dump'!$A:$A,0)),"")</f>
        <v/>
      </c>
      <c r="M157" s="52" t="str">
        <f>IFERROR(INDEX('OBA Dump'!D:D,MATCH($E157*1,'OBA Dump'!$A:$A,0)),"")</f>
        <v/>
      </c>
      <c r="N157" s="52"/>
      <c r="O157" s="52"/>
      <c r="P157" s="53"/>
      <c r="Q157" s="52"/>
      <c r="R157" s="38" t="str">
        <f>_xlfn.IFNA(VLOOKUP(E157,'Pre-Booked Holidays'!A:B,2,0),"")</f>
        <v/>
      </c>
      <c r="S157" s="38" t="str">
        <f>IF(E157="","",IF(IFERROR(VLOOKUP(E157,'Onbase Report'!D:E,2,0),"")&lt;&gt;"","Details in Onbase","No Details"))</f>
        <v/>
      </c>
      <c r="T157" s="38" t="str">
        <f>IF(LEFT('Salesforce Dump'!Q154,5)="BHX10",LEFT('Salesforce Dump'!Q154,5),LEFT('Salesforce Dump'!Q154,4))</f>
        <v/>
      </c>
      <c r="U157" s="38"/>
    </row>
    <row r="158" spans="1:21" ht="14.5" x14ac:dyDescent="0.35">
      <c r="A158" s="47" t="str">
        <f>IF('Salesforce Dump'!A155&lt;&gt;"",'Salesforce Dump'!A155,"")</f>
        <v/>
      </c>
      <c r="B158" s="48"/>
      <c r="C158" s="49" t="str">
        <f>IF('Salesforce Dump'!B155&lt;&gt;"",'Salesforce Dump'!B155,"")</f>
        <v/>
      </c>
      <c r="D158" s="48"/>
      <c r="E158" s="50" t="str">
        <f>IF('Salesforce Dump'!C155&lt;&gt;"",'Salesforce Dump'!C155,"")</f>
        <v/>
      </c>
      <c r="F158" s="49" t="str">
        <f>IF('Salesforce Dump'!D155&lt;&gt;"",'Salesforce Dump'!D155,"")</f>
        <v/>
      </c>
      <c r="G158" s="49" t="str">
        <f>IF('Salesforce Dump'!E155&lt;&gt;"",'Salesforce Dump'!E155,"")</f>
        <v/>
      </c>
      <c r="H158" s="49" t="str">
        <f>IF('Salesforce Dump'!G155&lt;&gt;"",'Salesforce Dump'!G155,"")</f>
        <v/>
      </c>
      <c r="I158" s="49" t="str">
        <f>IF('Salesforce Dump'!H155&lt;&gt;"",'Salesforce Dump'!H155,"")</f>
        <v/>
      </c>
      <c r="J158" s="51" t="str">
        <f>IF('Salesforce Dump'!I155&lt;&gt;"",'Salesforce Dump'!I155,"")</f>
        <v/>
      </c>
      <c r="K158" s="51" t="str">
        <f>IF('Salesforce Dump'!J155&lt;&gt;"",'Salesforce Dump'!J155,"")</f>
        <v/>
      </c>
      <c r="L158" s="52" t="str">
        <f>IFERROR(INDEX('OBA Dump'!C:C,MATCH($E158*1,'OBA Dump'!$A:$A,0)),"")</f>
        <v/>
      </c>
      <c r="M158" s="52" t="str">
        <f>IFERROR(INDEX('OBA Dump'!D:D,MATCH($E158*1,'OBA Dump'!$A:$A,0)),"")</f>
        <v/>
      </c>
      <c r="N158" s="52"/>
      <c r="O158" s="52"/>
      <c r="P158" s="53"/>
      <c r="Q158" s="52"/>
      <c r="R158" s="38" t="str">
        <f>_xlfn.IFNA(VLOOKUP(E158,'Pre-Booked Holidays'!A:B,2,0),"")</f>
        <v/>
      </c>
      <c r="S158" s="38" t="str">
        <f>IF(E158="","",IF(IFERROR(VLOOKUP(E158,'Onbase Report'!D:E,2,0),"")&lt;&gt;"","Details in Onbase","No Details"))</f>
        <v/>
      </c>
      <c r="T158" s="38" t="str">
        <f>IF(LEFT('Salesforce Dump'!Q155,5)="BHX10",LEFT('Salesforce Dump'!Q155,5),LEFT('Salesforce Dump'!Q155,4))</f>
        <v/>
      </c>
      <c r="U158" s="38"/>
    </row>
    <row r="159" spans="1:21" ht="14.5" x14ac:dyDescent="0.35">
      <c r="A159" s="47" t="str">
        <f>IF('Salesforce Dump'!A156&lt;&gt;"",'Salesforce Dump'!A156,"")</f>
        <v/>
      </c>
      <c r="B159" s="48"/>
      <c r="C159" s="49" t="str">
        <f>IF('Salesforce Dump'!B156&lt;&gt;"",'Salesforce Dump'!B156,"")</f>
        <v/>
      </c>
      <c r="D159" s="48"/>
      <c r="E159" s="50" t="str">
        <f>IF('Salesforce Dump'!C156&lt;&gt;"",'Salesforce Dump'!C156,"")</f>
        <v/>
      </c>
      <c r="F159" s="49" t="str">
        <f>IF('Salesforce Dump'!D156&lt;&gt;"",'Salesforce Dump'!D156,"")</f>
        <v/>
      </c>
      <c r="G159" s="49" t="str">
        <f>IF('Salesforce Dump'!E156&lt;&gt;"",'Salesforce Dump'!E156,"")</f>
        <v/>
      </c>
      <c r="H159" s="49" t="str">
        <f>IF('Salesforce Dump'!G156&lt;&gt;"",'Salesforce Dump'!G156,"")</f>
        <v/>
      </c>
      <c r="I159" s="49" t="str">
        <f>IF('Salesforce Dump'!H156&lt;&gt;"",'Salesforce Dump'!H156,"")</f>
        <v/>
      </c>
      <c r="J159" s="51" t="str">
        <f>IF('Salesforce Dump'!I156&lt;&gt;"",'Salesforce Dump'!I156,"")</f>
        <v/>
      </c>
      <c r="K159" s="51" t="str">
        <f>IF('Salesforce Dump'!J156&lt;&gt;"",'Salesforce Dump'!J156,"")</f>
        <v/>
      </c>
      <c r="L159" s="52" t="str">
        <f>IFERROR(INDEX('OBA Dump'!C:C,MATCH($E159*1,'OBA Dump'!$A:$A,0)),"")</f>
        <v/>
      </c>
      <c r="M159" s="52" t="str">
        <f>IFERROR(INDEX('OBA Dump'!D:D,MATCH($E159*1,'OBA Dump'!$A:$A,0)),"")</f>
        <v/>
      </c>
      <c r="N159" s="52"/>
      <c r="O159" s="52"/>
      <c r="P159" s="53"/>
      <c r="Q159" s="52"/>
      <c r="R159" s="38" t="str">
        <f>_xlfn.IFNA(VLOOKUP(E159,'Pre-Booked Holidays'!A:B,2,0),"")</f>
        <v/>
      </c>
      <c r="S159" s="38" t="str">
        <f>IF(E159="","",IF(IFERROR(VLOOKUP(E159,'Onbase Report'!D:E,2,0),"")&lt;&gt;"","Details in Onbase","No Details"))</f>
        <v/>
      </c>
      <c r="T159" s="38" t="str">
        <f>IF(LEFT('Salesforce Dump'!Q156,5)="BHX10",LEFT('Salesforce Dump'!Q156,5),LEFT('Salesforce Dump'!Q156,4))</f>
        <v/>
      </c>
      <c r="U159" s="38"/>
    </row>
    <row r="160" spans="1:21" ht="14.5" x14ac:dyDescent="0.35">
      <c r="A160" s="47" t="str">
        <f>IF('Salesforce Dump'!A157&lt;&gt;"",'Salesforce Dump'!A157,"")</f>
        <v/>
      </c>
      <c r="B160" s="48"/>
      <c r="C160" s="49" t="str">
        <f>IF('Salesforce Dump'!B157&lt;&gt;"",'Salesforce Dump'!B157,"")</f>
        <v/>
      </c>
      <c r="D160" s="48"/>
      <c r="E160" s="50" t="str">
        <f>IF('Salesforce Dump'!C157&lt;&gt;"",'Salesforce Dump'!C157,"")</f>
        <v/>
      </c>
      <c r="F160" s="49" t="str">
        <f>IF('Salesforce Dump'!D157&lt;&gt;"",'Salesforce Dump'!D157,"")</f>
        <v/>
      </c>
      <c r="G160" s="49" t="str">
        <f>IF('Salesforce Dump'!E157&lt;&gt;"",'Salesforce Dump'!E157,"")</f>
        <v/>
      </c>
      <c r="H160" s="49" t="str">
        <f>IF('Salesforce Dump'!G157&lt;&gt;"",'Salesforce Dump'!G157,"")</f>
        <v/>
      </c>
      <c r="I160" s="49" t="str">
        <f>IF('Salesforce Dump'!H157&lt;&gt;"",'Salesforce Dump'!H157,"")</f>
        <v/>
      </c>
      <c r="J160" s="51" t="str">
        <f>IF('Salesforce Dump'!I157&lt;&gt;"",'Salesforce Dump'!I157,"")</f>
        <v/>
      </c>
      <c r="K160" s="51" t="str">
        <f>IF('Salesforce Dump'!J157&lt;&gt;"",'Salesforce Dump'!J157,"")</f>
        <v/>
      </c>
      <c r="L160" s="52" t="str">
        <f>IFERROR(INDEX('OBA Dump'!C:C,MATCH($E160*1,'OBA Dump'!$A:$A,0)),"")</f>
        <v/>
      </c>
      <c r="M160" s="52" t="str">
        <f>IFERROR(INDEX('OBA Dump'!D:D,MATCH($E160*1,'OBA Dump'!$A:$A,0)),"")</f>
        <v/>
      </c>
      <c r="N160" s="52"/>
      <c r="O160" s="52"/>
      <c r="P160" s="53"/>
      <c r="Q160" s="52"/>
      <c r="R160" s="38" t="str">
        <f>_xlfn.IFNA(VLOOKUP(E160,'Pre-Booked Holidays'!A:B,2,0),"")</f>
        <v/>
      </c>
      <c r="S160" s="38" t="str">
        <f>IF(E160="","",IF(IFERROR(VLOOKUP(E160,'Onbase Report'!D:E,2,0),"")&lt;&gt;"","Details in Onbase","No Details"))</f>
        <v/>
      </c>
      <c r="T160" s="38" t="str">
        <f>IF(LEFT('Salesforce Dump'!Q157,5)="BHX10",LEFT('Salesforce Dump'!Q157,5),LEFT('Salesforce Dump'!Q157,4))</f>
        <v/>
      </c>
      <c r="U160" s="38"/>
    </row>
    <row r="161" spans="1:21" ht="14.5" x14ac:dyDescent="0.35">
      <c r="A161" s="47" t="str">
        <f>IF('Salesforce Dump'!A158&lt;&gt;"",'Salesforce Dump'!A158,"")</f>
        <v/>
      </c>
      <c r="B161" s="48"/>
      <c r="C161" s="49" t="str">
        <f>IF('Salesforce Dump'!B158&lt;&gt;"",'Salesforce Dump'!B158,"")</f>
        <v/>
      </c>
      <c r="D161" s="48"/>
      <c r="E161" s="50" t="str">
        <f>IF('Salesforce Dump'!C158&lt;&gt;"",'Salesforce Dump'!C158,"")</f>
        <v/>
      </c>
      <c r="F161" s="49" t="str">
        <f>IF('Salesforce Dump'!D158&lt;&gt;"",'Salesforce Dump'!D158,"")</f>
        <v/>
      </c>
      <c r="G161" s="49" t="str">
        <f>IF('Salesforce Dump'!E158&lt;&gt;"",'Salesforce Dump'!E158,"")</f>
        <v/>
      </c>
      <c r="H161" s="49" t="str">
        <f>IF('Salesforce Dump'!G158&lt;&gt;"",'Salesforce Dump'!G158,"")</f>
        <v/>
      </c>
      <c r="I161" s="49" t="str">
        <f>IF('Salesforce Dump'!H158&lt;&gt;"",'Salesforce Dump'!H158,"")</f>
        <v/>
      </c>
      <c r="J161" s="51" t="str">
        <f>IF('Salesforce Dump'!I158&lt;&gt;"",'Salesforce Dump'!I158,"")</f>
        <v/>
      </c>
      <c r="K161" s="51" t="str">
        <f>IF('Salesforce Dump'!J158&lt;&gt;"",'Salesforce Dump'!J158,"")</f>
        <v/>
      </c>
      <c r="L161" s="52" t="str">
        <f>IFERROR(INDEX('OBA Dump'!C:C,MATCH($E161*1,'OBA Dump'!$A:$A,0)),"")</f>
        <v/>
      </c>
      <c r="M161" s="52" t="str">
        <f>IFERROR(INDEX('OBA Dump'!D:D,MATCH($E161*1,'OBA Dump'!$A:$A,0)),"")</f>
        <v/>
      </c>
      <c r="N161" s="52"/>
      <c r="O161" s="52"/>
      <c r="P161" s="53"/>
      <c r="Q161" s="52"/>
      <c r="R161" s="38" t="str">
        <f>_xlfn.IFNA(VLOOKUP(E161,'Pre-Booked Holidays'!A:B,2,0),"")</f>
        <v/>
      </c>
      <c r="S161" s="38" t="str">
        <f>IF(E161="","",IF(IFERROR(VLOOKUP(E161,'Onbase Report'!D:E,2,0),"")&lt;&gt;"","Details in Onbase","No Details"))</f>
        <v/>
      </c>
      <c r="T161" s="38" t="str">
        <f>IF(LEFT('Salesforce Dump'!Q158,5)="BHX10",LEFT('Salesforce Dump'!Q158,5),LEFT('Salesforce Dump'!Q158,4))</f>
        <v/>
      </c>
      <c r="U161" s="38"/>
    </row>
    <row r="162" spans="1:21" ht="14.5" x14ac:dyDescent="0.35">
      <c r="A162" s="47" t="str">
        <f>IF('Salesforce Dump'!A159&lt;&gt;"",'Salesforce Dump'!A159,"")</f>
        <v/>
      </c>
      <c r="B162" s="48"/>
      <c r="C162" s="49" t="str">
        <f>IF('Salesforce Dump'!B159&lt;&gt;"",'Salesforce Dump'!B159,"")</f>
        <v/>
      </c>
      <c r="D162" s="48"/>
      <c r="E162" s="50" t="str">
        <f>IF('Salesforce Dump'!C159&lt;&gt;"",'Salesforce Dump'!C159,"")</f>
        <v/>
      </c>
      <c r="F162" s="49" t="str">
        <f>IF('Salesforce Dump'!D159&lt;&gt;"",'Salesforce Dump'!D159,"")</f>
        <v/>
      </c>
      <c r="G162" s="49" t="str">
        <f>IF('Salesforce Dump'!E159&lt;&gt;"",'Salesforce Dump'!E159,"")</f>
        <v/>
      </c>
      <c r="H162" s="49" t="str">
        <f>IF('Salesforce Dump'!G159&lt;&gt;"",'Salesforce Dump'!G159,"")</f>
        <v/>
      </c>
      <c r="I162" s="49" t="str">
        <f>IF('Salesforce Dump'!H159&lt;&gt;"",'Salesforce Dump'!H159,"")</f>
        <v/>
      </c>
      <c r="J162" s="51" t="str">
        <f>IF('Salesforce Dump'!I159&lt;&gt;"",'Salesforce Dump'!I159,"")</f>
        <v/>
      </c>
      <c r="K162" s="51" t="str">
        <f>IF('Salesforce Dump'!J159&lt;&gt;"",'Salesforce Dump'!J159,"")</f>
        <v/>
      </c>
      <c r="L162" s="52" t="str">
        <f>IFERROR(INDEX('OBA Dump'!C:C,MATCH($E162*1,'OBA Dump'!$A:$A,0)),"")</f>
        <v/>
      </c>
      <c r="M162" s="52" t="str">
        <f>IFERROR(INDEX('OBA Dump'!D:D,MATCH($E162*1,'OBA Dump'!$A:$A,0)),"")</f>
        <v/>
      </c>
      <c r="N162" s="52"/>
      <c r="O162" s="52"/>
      <c r="P162" s="53"/>
      <c r="Q162" s="52"/>
      <c r="R162" s="38" t="str">
        <f>_xlfn.IFNA(VLOOKUP(E162,'Pre-Booked Holidays'!A:B,2,0),"")</f>
        <v/>
      </c>
      <c r="S162" s="38" t="str">
        <f>IF(E162="","",IF(IFERROR(VLOOKUP(E162,'Onbase Report'!D:E,2,0),"")&lt;&gt;"","Details in Onbase","No Details"))</f>
        <v/>
      </c>
      <c r="T162" s="38" t="str">
        <f>IF(LEFT('Salesforce Dump'!Q159,5)="BHX10",LEFT('Salesforce Dump'!Q159,5),LEFT('Salesforce Dump'!Q159,4))</f>
        <v/>
      </c>
      <c r="U162" s="38"/>
    </row>
    <row r="163" spans="1:21" ht="14.5" x14ac:dyDescent="0.35">
      <c r="A163" s="47" t="str">
        <f>IF('Salesforce Dump'!A160&lt;&gt;"",'Salesforce Dump'!A160,"")</f>
        <v/>
      </c>
      <c r="B163" s="48"/>
      <c r="C163" s="49" t="str">
        <f>IF('Salesforce Dump'!B160&lt;&gt;"",'Salesforce Dump'!B160,"")</f>
        <v/>
      </c>
      <c r="D163" s="48"/>
      <c r="E163" s="50" t="str">
        <f>IF('Salesforce Dump'!C160&lt;&gt;"",'Salesforce Dump'!C160,"")</f>
        <v/>
      </c>
      <c r="F163" s="49" t="str">
        <f>IF('Salesforce Dump'!D160&lt;&gt;"",'Salesforce Dump'!D160,"")</f>
        <v/>
      </c>
      <c r="G163" s="49" t="str">
        <f>IF('Salesforce Dump'!E160&lt;&gt;"",'Salesforce Dump'!E160,"")</f>
        <v/>
      </c>
      <c r="H163" s="49" t="str">
        <f>IF('Salesforce Dump'!G160&lt;&gt;"",'Salesforce Dump'!G160,"")</f>
        <v/>
      </c>
      <c r="I163" s="49" t="str">
        <f>IF('Salesforce Dump'!H160&lt;&gt;"",'Salesforce Dump'!H160,"")</f>
        <v/>
      </c>
      <c r="J163" s="51" t="str">
        <f>IF('Salesforce Dump'!I160&lt;&gt;"",'Salesforce Dump'!I160,"")</f>
        <v/>
      </c>
      <c r="K163" s="51" t="str">
        <f>IF('Salesforce Dump'!J160&lt;&gt;"",'Salesforce Dump'!J160,"")</f>
        <v/>
      </c>
      <c r="L163" s="52" t="str">
        <f>IFERROR(INDEX('OBA Dump'!C:C,MATCH($E163*1,'OBA Dump'!$A:$A,0)),"")</f>
        <v/>
      </c>
      <c r="M163" s="52" t="str">
        <f>IFERROR(INDEX('OBA Dump'!D:D,MATCH($E163*1,'OBA Dump'!$A:$A,0)),"")</f>
        <v/>
      </c>
      <c r="N163" s="52"/>
      <c r="O163" s="52"/>
      <c r="P163" s="53"/>
      <c r="Q163" s="52"/>
      <c r="R163" s="38" t="str">
        <f>_xlfn.IFNA(VLOOKUP(E163,'Pre-Booked Holidays'!A:B,2,0),"")</f>
        <v/>
      </c>
      <c r="S163" s="38" t="str">
        <f>IF(E163="","",IF(IFERROR(VLOOKUP(E163,'Onbase Report'!D:E,2,0),"")&lt;&gt;"","Details in Onbase","No Details"))</f>
        <v/>
      </c>
      <c r="T163" s="38" t="str">
        <f>IF(LEFT('Salesforce Dump'!Q160,5)="BHX10",LEFT('Salesforce Dump'!Q160,5),LEFT('Salesforce Dump'!Q160,4))</f>
        <v/>
      </c>
      <c r="U163" s="38"/>
    </row>
    <row r="164" spans="1:21" ht="14.5" x14ac:dyDescent="0.35">
      <c r="A164" s="47" t="str">
        <f>IF('Salesforce Dump'!A161&lt;&gt;"",'Salesforce Dump'!A161,"")</f>
        <v/>
      </c>
      <c r="B164" s="48"/>
      <c r="C164" s="49" t="str">
        <f>IF('Salesforce Dump'!B161&lt;&gt;"",'Salesforce Dump'!B161,"")</f>
        <v/>
      </c>
      <c r="D164" s="48"/>
      <c r="E164" s="50" t="str">
        <f>IF('Salesforce Dump'!C161&lt;&gt;"",'Salesforce Dump'!C161,"")</f>
        <v/>
      </c>
      <c r="F164" s="49" t="str">
        <f>IF('Salesforce Dump'!D161&lt;&gt;"",'Salesforce Dump'!D161,"")</f>
        <v/>
      </c>
      <c r="G164" s="49" t="str">
        <f>IF('Salesforce Dump'!E161&lt;&gt;"",'Salesforce Dump'!E161,"")</f>
        <v/>
      </c>
      <c r="H164" s="49" t="str">
        <f>IF('Salesforce Dump'!G161&lt;&gt;"",'Salesforce Dump'!G161,"")</f>
        <v/>
      </c>
      <c r="I164" s="49" t="str">
        <f>IF('Salesforce Dump'!H161&lt;&gt;"",'Salesforce Dump'!H161,"")</f>
        <v/>
      </c>
      <c r="J164" s="51" t="str">
        <f>IF('Salesforce Dump'!I161&lt;&gt;"",'Salesforce Dump'!I161,"")</f>
        <v/>
      </c>
      <c r="K164" s="51" t="str">
        <f>IF('Salesforce Dump'!J161&lt;&gt;"",'Salesforce Dump'!J161,"")</f>
        <v/>
      </c>
      <c r="L164" s="52" t="str">
        <f>IFERROR(INDEX('OBA Dump'!C:C,MATCH($E164*1,'OBA Dump'!$A:$A,0)),"")</f>
        <v/>
      </c>
      <c r="M164" s="52" t="str">
        <f>IFERROR(INDEX('OBA Dump'!D:D,MATCH($E164*1,'OBA Dump'!$A:$A,0)),"")</f>
        <v/>
      </c>
      <c r="N164" s="52"/>
      <c r="O164" s="52"/>
      <c r="P164" s="53"/>
      <c r="Q164" s="52"/>
      <c r="R164" s="38" t="str">
        <f>_xlfn.IFNA(VLOOKUP(E164,'Pre-Booked Holidays'!A:B,2,0),"")</f>
        <v/>
      </c>
      <c r="S164" s="38" t="str">
        <f>IF(E164="","",IF(IFERROR(VLOOKUP(E164,'Onbase Report'!D:E,2,0),"")&lt;&gt;"","Details in Onbase","No Details"))</f>
        <v/>
      </c>
      <c r="T164" s="38" t="str">
        <f>IF(LEFT('Salesforce Dump'!Q161,5)="BHX10",LEFT('Salesforce Dump'!Q161,5),LEFT('Salesforce Dump'!Q161,4))</f>
        <v/>
      </c>
      <c r="U164" s="38"/>
    </row>
    <row r="165" spans="1:21" ht="14.5" x14ac:dyDescent="0.35">
      <c r="A165" s="47" t="str">
        <f>IF('Salesforce Dump'!A162&lt;&gt;"",'Salesforce Dump'!A162,"")</f>
        <v/>
      </c>
      <c r="B165" s="48"/>
      <c r="C165" s="49" t="str">
        <f>IF('Salesforce Dump'!B162&lt;&gt;"",'Salesforce Dump'!B162,"")</f>
        <v/>
      </c>
      <c r="D165" s="48"/>
      <c r="E165" s="50" t="str">
        <f>IF('Salesforce Dump'!C162&lt;&gt;"",'Salesforce Dump'!C162,"")</f>
        <v/>
      </c>
      <c r="F165" s="49" t="str">
        <f>IF('Salesforce Dump'!D162&lt;&gt;"",'Salesforce Dump'!D162,"")</f>
        <v/>
      </c>
      <c r="G165" s="49" t="str">
        <f>IF('Salesforce Dump'!E162&lt;&gt;"",'Salesforce Dump'!E162,"")</f>
        <v/>
      </c>
      <c r="H165" s="49" t="str">
        <f>IF('Salesforce Dump'!G162&lt;&gt;"",'Salesforce Dump'!G162,"")</f>
        <v/>
      </c>
      <c r="I165" s="49" t="str">
        <f>IF('Salesforce Dump'!H162&lt;&gt;"",'Salesforce Dump'!H162,"")</f>
        <v/>
      </c>
      <c r="J165" s="51" t="str">
        <f>IF('Salesforce Dump'!I162&lt;&gt;"",'Salesforce Dump'!I162,"")</f>
        <v/>
      </c>
      <c r="K165" s="51" t="str">
        <f>IF('Salesforce Dump'!J162&lt;&gt;"",'Salesforce Dump'!J162,"")</f>
        <v/>
      </c>
      <c r="L165" s="52" t="str">
        <f>IFERROR(INDEX('OBA Dump'!C:C,MATCH($E165*1,'OBA Dump'!$A:$A,0)),"")</f>
        <v/>
      </c>
      <c r="M165" s="52" t="str">
        <f>IFERROR(INDEX('OBA Dump'!D:D,MATCH($E165*1,'OBA Dump'!$A:$A,0)),"")</f>
        <v/>
      </c>
      <c r="N165" s="52"/>
      <c r="O165" s="52"/>
      <c r="P165" s="53"/>
      <c r="Q165" s="52"/>
      <c r="R165" s="38" t="str">
        <f>_xlfn.IFNA(VLOOKUP(E165,'Pre-Booked Holidays'!A:B,2,0),"")</f>
        <v/>
      </c>
      <c r="S165" s="38" t="str">
        <f>IF(E165="","",IF(IFERROR(VLOOKUP(E165,'Onbase Report'!D:E,2,0),"")&lt;&gt;"","Details in Onbase","No Details"))</f>
        <v/>
      </c>
      <c r="T165" s="38" t="str">
        <f>IF(LEFT('Salesforce Dump'!Q162,5)="BHX10",LEFT('Salesforce Dump'!Q162,5),LEFT('Salesforce Dump'!Q162,4))</f>
        <v/>
      </c>
      <c r="U165" s="38"/>
    </row>
    <row r="166" spans="1:21" ht="14.5" x14ac:dyDescent="0.35">
      <c r="A166" s="47" t="str">
        <f>IF('Salesforce Dump'!A163&lt;&gt;"",'Salesforce Dump'!A163,"")</f>
        <v/>
      </c>
      <c r="B166" s="48"/>
      <c r="C166" s="49" t="str">
        <f>IF('Salesforce Dump'!B163&lt;&gt;"",'Salesforce Dump'!B163,"")</f>
        <v/>
      </c>
      <c r="D166" s="48"/>
      <c r="E166" s="50" t="str">
        <f>IF('Salesforce Dump'!C163&lt;&gt;"",'Salesforce Dump'!C163,"")</f>
        <v/>
      </c>
      <c r="F166" s="49" t="str">
        <f>IF('Salesforce Dump'!D163&lt;&gt;"",'Salesforce Dump'!D163,"")</f>
        <v/>
      </c>
      <c r="G166" s="49" t="str">
        <f>IF('Salesforce Dump'!E163&lt;&gt;"",'Salesforce Dump'!E163,"")</f>
        <v/>
      </c>
      <c r="H166" s="49" t="str">
        <f>IF('Salesforce Dump'!G163&lt;&gt;"",'Salesforce Dump'!G163,"")</f>
        <v/>
      </c>
      <c r="I166" s="49" t="str">
        <f>IF('Salesforce Dump'!H163&lt;&gt;"",'Salesforce Dump'!H163,"")</f>
        <v/>
      </c>
      <c r="J166" s="51" t="str">
        <f>IF('Salesforce Dump'!I163&lt;&gt;"",'Salesforce Dump'!I163,"")</f>
        <v/>
      </c>
      <c r="K166" s="51" t="str">
        <f>IF('Salesforce Dump'!J163&lt;&gt;"",'Salesforce Dump'!J163,"")</f>
        <v/>
      </c>
      <c r="L166" s="52" t="str">
        <f>IFERROR(INDEX('OBA Dump'!C:C,MATCH($E166*1,'OBA Dump'!$A:$A,0)),"")</f>
        <v/>
      </c>
      <c r="M166" s="52" t="str">
        <f>IFERROR(INDEX('OBA Dump'!D:D,MATCH($E166*1,'OBA Dump'!$A:$A,0)),"")</f>
        <v/>
      </c>
      <c r="N166" s="52"/>
      <c r="O166" s="52"/>
      <c r="P166" s="53"/>
      <c r="Q166" s="52"/>
      <c r="R166" s="38" t="str">
        <f>_xlfn.IFNA(VLOOKUP(E166,'Pre-Booked Holidays'!A:B,2,0),"")</f>
        <v/>
      </c>
      <c r="S166" s="38" t="str">
        <f>IF(E166="","",IF(IFERROR(VLOOKUP(E166,'Onbase Report'!D:E,2,0),"")&lt;&gt;"","Details in Onbase","No Details"))</f>
        <v/>
      </c>
      <c r="T166" s="38" t="str">
        <f>IF(LEFT('Salesforce Dump'!Q163,5)="BHX10",LEFT('Salesforce Dump'!Q163,5),LEFT('Salesforce Dump'!Q163,4))</f>
        <v/>
      </c>
      <c r="U166" s="38"/>
    </row>
    <row r="167" spans="1:21" ht="14.5" x14ac:dyDescent="0.35">
      <c r="A167" s="47" t="str">
        <f>IF('Salesforce Dump'!A164&lt;&gt;"",'Salesforce Dump'!A164,"")</f>
        <v/>
      </c>
      <c r="B167" s="48"/>
      <c r="C167" s="49" t="str">
        <f>IF('Salesforce Dump'!B164&lt;&gt;"",'Salesforce Dump'!B164,"")</f>
        <v/>
      </c>
      <c r="D167" s="48"/>
      <c r="E167" s="50" t="str">
        <f>IF('Salesforce Dump'!C164&lt;&gt;"",'Salesforce Dump'!C164,"")</f>
        <v/>
      </c>
      <c r="F167" s="49" t="str">
        <f>IF('Salesforce Dump'!D164&lt;&gt;"",'Salesforce Dump'!D164,"")</f>
        <v/>
      </c>
      <c r="G167" s="49" t="str">
        <f>IF('Salesforce Dump'!E164&lt;&gt;"",'Salesforce Dump'!E164,"")</f>
        <v/>
      </c>
      <c r="H167" s="49" t="str">
        <f>IF('Salesforce Dump'!G164&lt;&gt;"",'Salesforce Dump'!G164,"")</f>
        <v/>
      </c>
      <c r="I167" s="49" t="str">
        <f>IF('Salesforce Dump'!H164&lt;&gt;"",'Salesforce Dump'!H164,"")</f>
        <v/>
      </c>
      <c r="J167" s="51" t="str">
        <f>IF('Salesforce Dump'!I164&lt;&gt;"",'Salesforce Dump'!I164,"")</f>
        <v/>
      </c>
      <c r="K167" s="51" t="str">
        <f>IF('Salesforce Dump'!J164&lt;&gt;"",'Salesforce Dump'!J164,"")</f>
        <v/>
      </c>
      <c r="L167" s="52" t="str">
        <f>IFERROR(INDEX('OBA Dump'!C:C,MATCH($E167*1,'OBA Dump'!$A:$A,0)),"")</f>
        <v/>
      </c>
      <c r="M167" s="52" t="str">
        <f>IFERROR(INDEX('OBA Dump'!D:D,MATCH($E167*1,'OBA Dump'!$A:$A,0)),"")</f>
        <v/>
      </c>
      <c r="N167" s="52"/>
      <c r="O167" s="52"/>
      <c r="P167" s="53"/>
      <c r="Q167" s="52"/>
      <c r="R167" s="38" t="str">
        <f>_xlfn.IFNA(VLOOKUP(E167,'Pre-Booked Holidays'!A:B,2,0),"")</f>
        <v/>
      </c>
      <c r="S167" s="38" t="str">
        <f>IF(E167="","",IF(IFERROR(VLOOKUP(E167,'Onbase Report'!D:E,2,0),"")&lt;&gt;"","Details in Onbase","No Details"))</f>
        <v/>
      </c>
      <c r="T167" s="38" t="str">
        <f>IF(LEFT('Salesforce Dump'!Q164,5)="BHX10",LEFT('Salesforce Dump'!Q164,5),LEFT('Salesforce Dump'!Q164,4))</f>
        <v/>
      </c>
      <c r="U167" s="38"/>
    </row>
    <row r="168" spans="1:21" ht="14.5" x14ac:dyDescent="0.35">
      <c r="A168" s="47" t="str">
        <f>IF('Salesforce Dump'!A165&lt;&gt;"",'Salesforce Dump'!A165,"")</f>
        <v/>
      </c>
      <c r="B168" s="48"/>
      <c r="C168" s="49" t="str">
        <f>IF('Salesforce Dump'!B165&lt;&gt;"",'Salesforce Dump'!B165,"")</f>
        <v/>
      </c>
      <c r="D168" s="48"/>
      <c r="E168" s="50" t="str">
        <f>IF('Salesforce Dump'!C165&lt;&gt;"",'Salesforce Dump'!C165,"")</f>
        <v/>
      </c>
      <c r="F168" s="49" t="str">
        <f>IF('Salesforce Dump'!D165&lt;&gt;"",'Salesforce Dump'!D165,"")</f>
        <v/>
      </c>
      <c r="G168" s="49" t="str">
        <f>IF('Salesforce Dump'!E165&lt;&gt;"",'Salesforce Dump'!E165,"")</f>
        <v/>
      </c>
      <c r="H168" s="49" t="str">
        <f>IF('Salesforce Dump'!G165&lt;&gt;"",'Salesforce Dump'!G165,"")</f>
        <v/>
      </c>
      <c r="I168" s="49" t="str">
        <f>IF('Salesforce Dump'!H165&lt;&gt;"",'Salesforce Dump'!H165,"")</f>
        <v/>
      </c>
      <c r="J168" s="51" t="str">
        <f>IF('Salesforce Dump'!I165&lt;&gt;"",'Salesforce Dump'!I165,"")</f>
        <v/>
      </c>
      <c r="K168" s="51" t="str">
        <f>IF('Salesforce Dump'!J165&lt;&gt;"",'Salesforce Dump'!J165,"")</f>
        <v/>
      </c>
      <c r="L168" s="52" t="str">
        <f>IFERROR(INDEX('OBA Dump'!C:C,MATCH($E168*1,'OBA Dump'!$A:$A,0)),"")</f>
        <v/>
      </c>
      <c r="M168" s="52" t="str">
        <f>IFERROR(INDEX('OBA Dump'!D:D,MATCH($E168*1,'OBA Dump'!$A:$A,0)),"")</f>
        <v/>
      </c>
      <c r="N168" s="52"/>
      <c r="O168" s="52"/>
      <c r="P168" s="53"/>
      <c r="Q168" s="52"/>
      <c r="R168" s="38" t="str">
        <f>_xlfn.IFNA(VLOOKUP(E168,'Pre-Booked Holidays'!A:B,2,0),"")</f>
        <v/>
      </c>
      <c r="S168" s="38" t="str">
        <f>IF(E168="","",IF(IFERROR(VLOOKUP(E168,'Onbase Report'!D:E,2,0),"")&lt;&gt;"","Details in Onbase","No Details"))</f>
        <v/>
      </c>
      <c r="T168" s="38" t="str">
        <f>IF(LEFT('Salesforce Dump'!Q165,5)="BHX10",LEFT('Salesforce Dump'!Q165,5),LEFT('Salesforce Dump'!Q165,4))</f>
        <v/>
      </c>
      <c r="U168" s="38"/>
    </row>
    <row r="169" spans="1:21" ht="14.5" x14ac:dyDescent="0.35">
      <c r="A169" s="47" t="str">
        <f>IF('Salesforce Dump'!A166&lt;&gt;"",'Salesforce Dump'!A166,"")</f>
        <v/>
      </c>
      <c r="B169" s="48"/>
      <c r="C169" s="49" t="str">
        <f>IF('Salesforce Dump'!B166&lt;&gt;"",'Salesforce Dump'!B166,"")</f>
        <v/>
      </c>
      <c r="D169" s="48"/>
      <c r="E169" s="50" t="str">
        <f>IF('Salesforce Dump'!C166&lt;&gt;"",'Salesforce Dump'!C166,"")</f>
        <v/>
      </c>
      <c r="F169" s="49" t="str">
        <f>IF('Salesforce Dump'!D166&lt;&gt;"",'Salesforce Dump'!D166,"")</f>
        <v/>
      </c>
      <c r="G169" s="49" t="str">
        <f>IF('Salesforce Dump'!E166&lt;&gt;"",'Salesforce Dump'!E166,"")</f>
        <v/>
      </c>
      <c r="H169" s="49" t="str">
        <f>IF('Salesforce Dump'!G166&lt;&gt;"",'Salesforce Dump'!G166,"")</f>
        <v/>
      </c>
      <c r="I169" s="49" t="str">
        <f>IF('Salesforce Dump'!H166&lt;&gt;"",'Salesforce Dump'!H166,"")</f>
        <v/>
      </c>
      <c r="J169" s="51" t="str">
        <f>IF('Salesforce Dump'!I166&lt;&gt;"",'Salesforce Dump'!I166,"")</f>
        <v/>
      </c>
      <c r="K169" s="51" t="str">
        <f>IF('Salesforce Dump'!J166&lt;&gt;"",'Salesforce Dump'!J166,"")</f>
        <v/>
      </c>
      <c r="L169" s="52" t="str">
        <f>IFERROR(INDEX('OBA Dump'!C:C,MATCH($E169*1,'OBA Dump'!$A:$A,0)),"")</f>
        <v/>
      </c>
      <c r="M169" s="52" t="str">
        <f>IFERROR(INDEX('OBA Dump'!D:D,MATCH($E169*1,'OBA Dump'!$A:$A,0)),"")</f>
        <v/>
      </c>
      <c r="N169" s="52"/>
      <c r="O169" s="52"/>
      <c r="P169" s="53"/>
      <c r="Q169" s="52"/>
      <c r="R169" s="38" t="str">
        <f>_xlfn.IFNA(VLOOKUP(E169,'Pre-Booked Holidays'!A:B,2,0),"")</f>
        <v/>
      </c>
      <c r="S169" s="38" t="str">
        <f>IF(E169="","",IF(IFERROR(VLOOKUP(E169,'Onbase Report'!D:E,2,0),"")&lt;&gt;"","Details in Onbase","No Details"))</f>
        <v/>
      </c>
      <c r="T169" s="38" t="str">
        <f>IF(LEFT('Salesforce Dump'!Q166,5)="BHX10",LEFT('Salesforce Dump'!Q166,5),LEFT('Salesforce Dump'!Q166,4))</f>
        <v/>
      </c>
      <c r="U169" s="38"/>
    </row>
    <row r="170" spans="1:21" ht="14.5" x14ac:dyDescent="0.35">
      <c r="A170" s="47" t="str">
        <f>IF('Salesforce Dump'!A167&lt;&gt;"",'Salesforce Dump'!A167,"")</f>
        <v/>
      </c>
      <c r="B170" s="48"/>
      <c r="C170" s="49" t="str">
        <f>IF('Salesforce Dump'!B167&lt;&gt;"",'Salesforce Dump'!B167,"")</f>
        <v/>
      </c>
      <c r="D170" s="48"/>
      <c r="E170" s="50" t="str">
        <f>IF('Salesforce Dump'!C167&lt;&gt;"",'Salesforce Dump'!C167,"")</f>
        <v/>
      </c>
      <c r="F170" s="49" t="str">
        <f>IF('Salesforce Dump'!D167&lt;&gt;"",'Salesforce Dump'!D167,"")</f>
        <v/>
      </c>
      <c r="G170" s="49" t="str">
        <f>IF('Salesforce Dump'!E167&lt;&gt;"",'Salesforce Dump'!E167,"")</f>
        <v/>
      </c>
      <c r="H170" s="49" t="str">
        <f>IF('Salesforce Dump'!G167&lt;&gt;"",'Salesforce Dump'!G167,"")</f>
        <v/>
      </c>
      <c r="I170" s="49" t="str">
        <f>IF('Salesforce Dump'!H167&lt;&gt;"",'Salesforce Dump'!H167,"")</f>
        <v/>
      </c>
      <c r="J170" s="51" t="str">
        <f>IF('Salesforce Dump'!I167&lt;&gt;"",'Salesforce Dump'!I167,"")</f>
        <v/>
      </c>
      <c r="K170" s="51" t="str">
        <f>IF('Salesforce Dump'!J167&lt;&gt;"",'Salesforce Dump'!J167,"")</f>
        <v/>
      </c>
      <c r="L170" s="52" t="str">
        <f>IFERROR(INDEX('OBA Dump'!C:C,MATCH($E170*1,'OBA Dump'!$A:$A,0)),"")</f>
        <v/>
      </c>
      <c r="M170" s="52" t="str">
        <f>IFERROR(INDEX('OBA Dump'!D:D,MATCH($E170*1,'OBA Dump'!$A:$A,0)),"")</f>
        <v/>
      </c>
      <c r="N170" s="52"/>
      <c r="O170" s="52"/>
      <c r="P170" s="53"/>
      <c r="Q170" s="52"/>
      <c r="R170" s="38" t="str">
        <f>_xlfn.IFNA(VLOOKUP(E170,'Pre-Booked Holidays'!A:B,2,0),"")</f>
        <v/>
      </c>
      <c r="S170" s="38" t="str">
        <f>IF(E170="","",IF(IFERROR(VLOOKUP(E170,'Onbase Report'!D:E,2,0),"")&lt;&gt;"","Details in Onbase","No Details"))</f>
        <v/>
      </c>
      <c r="T170" s="38" t="str">
        <f>IF(LEFT('Salesforce Dump'!Q167,5)="BHX10",LEFT('Salesforce Dump'!Q167,5),LEFT('Salesforce Dump'!Q167,4))</f>
        <v/>
      </c>
      <c r="U170" s="38"/>
    </row>
    <row r="171" spans="1:21" ht="14.5" x14ac:dyDescent="0.35">
      <c r="A171" s="47" t="str">
        <f>IF('Salesforce Dump'!A168&lt;&gt;"",'Salesforce Dump'!A168,"")</f>
        <v/>
      </c>
      <c r="B171" s="48"/>
      <c r="C171" s="49" t="str">
        <f>IF('Salesforce Dump'!B168&lt;&gt;"",'Salesforce Dump'!B168,"")</f>
        <v/>
      </c>
      <c r="D171" s="48"/>
      <c r="E171" s="50" t="str">
        <f>IF('Salesforce Dump'!C168&lt;&gt;"",'Salesforce Dump'!C168,"")</f>
        <v/>
      </c>
      <c r="F171" s="49" t="str">
        <f>IF('Salesforce Dump'!D168&lt;&gt;"",'Salesforce Dump'!D168,"")</f>
        <v/>
      </c>
      <c r="G171" s="49" t="str">
        <f>IF('Salesforce Dump'!E168&lt;&gt;"",'Salesforce Dump'!E168,"")</f>
        <v/>
      </c>
      <c r="H171" s="49" t="str">
        <f>IF('Salesforce Dump'!G168&lt;&gt;"",'Salesforce Dump'!G168,"")</f>
        <v/>
      </c>
      <c r="I171" s="49" t="str">
        <f>IF('Salesforce Dump'!H168&lt;&gt;"",'Salesforce Dump'!H168,"")</f>
        <v/>
      </c>
      <c r="J171" s="51" t="str">
        <f>IF('Salesforce Dump'!I168&lt;&gt;"",'Salesforce Dump'!I168,"")</f>
        <v/>
      </c>
      <c r="K171" s="51" t="str">
        <f>IF('Salesforce Dump'!J168&lt;&gt;"",'Salesforce Dump'!J168,"")</f>
        <v/>
      </c>
      <c r="L171" s="52" t="str">
        <f>IFERROR(INDEX('OBA Dump'!C:C,MATCH($E171*1,'OBA Dump'!$A:$A,0)),"")</f>
        <v/>
      </c>
      <c r="M171" s="52" t="str">
        <f>IFERROR(INDEX('OBA Dump'!D:D,MATCH($E171*1,'OBA Dump'!$A:$A,0)),"")</f>
        <v/>
      </c>
      <c r="N171" s="52"/>
      <c r="O171" s="52"/>
      <c r="P171" s="53"/>
      <c r="Q171" s="52"/>
      <c r="R171" s="38" t="str">
        <f>_xlfn.IFNA(VLOOKUP(E171,'Pre-Booked Holidays'!A:B,2,0),"")</f>
        <v/>
      </c>
      <c r="S171" s="38" t="str">
        <f>IF(E171="","",IF(IFERROR(VLOOKUP(E171,'Onbase Report'!D:E,2,0),"")&lt;&gt;"","Details in Onbase","No Details"))</f>
        <v/>
      </c>
      <c r="T171" s="38" t="str">
        <f>IF(LEFT('Salesforce Dump'!Q168,5)="BHX10",LEFT('Salesforce Dump'!Q168,5),LEFT('Salesforce Dump'!Q168,4))</f>
        <v/>
      </c>
      <c r="U171" s="38"/>
    </row>
    <row r="172" spans="1:21" ht="14.5" x14ac:dyDescent="0.35">
      <c r="A172" s="47" t="str">
        <f>IF('Salesforce Dump'!A169&lt;&gt;"",'Salesforce Dump'!A169,"")</f>
        <v/>
      </c>
      <c r="B172" s="48"/>
      <c r="C172" s="49" t="str">
        <f>IF('Salesforce Dump'!B169&lt;&gt;"",'Salesforce Dump'!B169,"")</f>
        <v/>
      </c>
      <c r="D172" s="48"/>
      <c r="E172" s="50" t="str">
        <f>IF('Salesforce Dump'!C169&lt;&gt;"",'Salesforce Dump'!C169,"")</f>
        <v/>
      </c>
      <c r="F172" s="49" t="str">
        <f>IF('Salesforce Dump'!D169&lt;&gt;"",'Salesforce Dump'!D169,"")</f>
        <v/>
      </c>
      <c r="G172" s="49" t="str">
        <f>IF('Salesforce Dump'!E169&lt;&gt;"",'Salesforce Dump'!E169,"")</f>
        <v/>
      </c>
      <c r="H172" s="49" t="str">
        <f>IF('Salesforce Dump'!G169&lt;&gt;"",'Salesforce Dump'!G169,"")</f>
        <v/>
      </c>
      <c r="I172" s="49" t="str">
        <f>IF('Salesforce Dump'!H169&lt;&gt;"",'Salesforce Dump'!H169,"")</f>
        <v/>
      </c>
      <c r="J172" s="51" t="str">
        <f>IF('Salesforce Dump'!I169&lt;&gt;"",'Salesforce Dump'!I169,"")</f>
        <v/>
      </c>
      <c r="K172" s="51" t="str">
        <f>IF('Salesforce Dump'!J169&lt;&gt;"",'Salesforce Dump'!J169,"")</f>
        <v/>
      </c>
      <c r="L172" s="52" t="str">
        <f>IFERROR(INDEX('OBA Dump'!C:C,MATCH($E172*1,'OBA Dump'!$A:$A,0)),"")</f>
        <v/>
      </c>
      <c r="M172" s="52" t="str">
        <f>IFERROR(INDEX('OBA Dump'!D:D,MATCH($E172*1,'OBA Dump'!$A:$A,0)),"")</f>
        <v/>
      </c>
      <c r="N172" s="52"/>
      <c r="O172" s="52"/>
      <c r="P172" s="53"/>
      <c r="Q172" s="52"/>
      <c r="R172" s="38" t="str">
        <f>_xlfn.IFNA(VLOOKUP(E172,'Pre-Booked Holidays'!A:B,2,0),"")</f>
        <v/>
      </c>
      <c r="S172" s="38" t="str">
        <f>IF(E172="","",IF(IFERROR(VLOOKUP(E172,'Onbase Report'!D:E,2,0),"")&lt;&gt;"","Details in Onbase","No Details"))</f>
        <v/>
      </c>
      <c r="T172" s="38" t="str">
        <f>IF(LEFT('Salesforce Dump'!Q169,5)="BHX10",LEFT('Salesforce Dump'!Q169,5),LEFT('Salesforce Dump'!Q169,4))</f>
        <v/>
      </c>
      <c r="U172" s="38"/>
    </row>
    <row r="173" spans="1:21" ht="14.5" x14ac:dyDescent="0.35">
      <c r="A173" s="47" t="str">
        <f>IF('Salesforce Dump'!A170&lt;&gt;"",'Salesforce Dump'!A170,"")</f>
        <v/>
      </c>
      <c r="B173" s="48"/>
      <c r="C173" s="49" t="str">
        <f>IF('Salesforce Dump'!B170&lt;&gt;"",'Salesforce Dump'!B170,"")</f>
        <v/>
      </c>
      <c r="D173" s="48"/>
      <c r="E173" s="50" t="str">
        <f>IF('Salesforce Dump'!C170&lt;&gt;"",'Salesforce Dump'!C170,"")</f>
        <v/>
      </c>
      <c r="F173" s="49" t="str">
        <f>IF('Salesforce Dump'!D170&lt;&gt;"",'Salesforce Dump'!D170,"")</f>
        <v/>
      </c>
      <c r="G173" s="49" t="str">
        <f>IF('Salesforce Dump'!E170&lt;&gt;"",'Salesforce Dump'!E170,"")</f>
        <v/>
      </c>
      <c r="H173" s="49" t="str">
        <f>IF('Salesforce Dump'!G170&lt;&gt;"",'Salesforce Dump'!G170,"")</f>
        <v/>
      </c>
      <c r="I173" s="49" t="str">
        <f>IF('Salesforce Dump'!H170&lt;&gt;"",'Salesforce Dump'!H170,"")</f>
        <v/>
      </c>
      <c r="J173" s="51" t="str">
        <f>IF('Salesforce Dump'!I170&lt;&gt;"",'Salesforce Dump'!I170,"")</f>
        <v/>
      </c>
      <c r="K173" s="51" t="str">
        <f>IF('Salesforce Dump'!J170&lt;&gt;"",'Salesforce Dump'!J170,"")</f>
        <v/>
      </c>
      <c r="L173" s="52" t="str">
        <f>IFERROR(INDEX('OBA Dump'!C:C,MATCH($E173*1,'OBA Dump'!$A:$A,0)),"")</f>
        <v/>
      </c>
      <c r="M173" s="52" t="str">
        <f>IFERROR(INDEX('OBA Dump'!D:D,MATCH($E173*1,'OBA Dump'!$A:$A,0)),"")</f>
        <v/>
      </c>
      <c r="N173" s="52"/>
      <c r="O173" s="52"/>
      <c r="P173" s="53"/>
      <c r="Q173" s="52"/>
      <c r="R173" s="38" t="str">
        <f>_xlfn.IFNA(VLOOKUP(E173,'Pre-Booked Holidays'!A:B,2,0),"")</f>
        <v/>
      </c>
      <c r="S173" s="38" t="str">
        <f>IF(E173="","",IF(IFERROR(VLOOKUP(E173,'Onbase Report'!D:E,2,0),"")&lt;&gt;"","Details in Onbase","No Details"))</f>
        <v/>
      </c>
      <c r="T173" s="38" t="str">
        <f>IF(LEFT('Salesforce Dump'!Q170,5)="BHX10",LEFT('Salesforce Dump'!Q170,5),LEFT('Salesforce Dump'!Q170,4))</f>
        <v/>
      </c>
      <c r="U173" s="38"/>
    </row>
    <row r="174" spans="1:21" ht="14.5" x14ac:dyDescent="0.35">
      <c r="A174" s="47" t="str">
        <f>IF('Salesforce Dump'!A171&lt;&gt;"",'Salesforce Dump'!A171,"")</f>
        <v/>
      </c>
      <c r="B174" s="48"/>
      <c r="C174" s="49" t="str">
        <f>IF('Salesforce Dump'!B171&lt;&gt;"",'Salesforce Dump'!B171,"")</f>
        <v/>
      </c>
      <c r="D174" s="48"/>
      <c r="E174" s="50" t="str">
        <f>IF('Salesforce Dump'!C171&lt;&gt;"",'Salesforce Dump'!C171,"")</f>
        <v/>
      </c>
      <c r="F174" s="49" t="str">
        <f>IF('Salesforce Dump'!D171&lt;&gt;"",'Salesforce Dump'!D171,"")</f>
        <v/>
      </c>
      <c r="G174" s="49" t="str">
        <f>IF('Salesforce Dump'!E171&lt;&gt;"",'Salesforce Dump'!E171,"")</f>
        <v/>
      </c>
      <c r="H174" s="49" t="str">
        <f>IF('Salesforce Dump'!G171&lt;&gt;"",'Salesforce Dump'!G171,"")</f>
        <v/>
      </c>
      <c r="I174" s="49" t="str">
        <f>IF('Salesforce Dump'!H171&lt;&gt;"",'Salesforce Dump'!H171,"")</f>
        <v/>
      </c>
      <c r="J174" s="51" t="str">
        <f>IF('Salesforce Dump'!I171&lt;&gt;"",'Salesforce Dump'!I171,"")</f>
        <v/>
      </c>
      <c r="K174" s="51" t="str">
        <f>IF('Salesforce Dump'!J171&lt;&gt;"",'Salesforce Dump'!J171,"")</f>
        <v/>
      </c>
      <c r="L174" s="52" t="str">
        <f>IFERROR(INDEX('OBA Dump'!C:C,MATCH($E174*1,'OBA Dump'!$A:$A,0)),"")</f>
        <v/>
      </c>
      <c r="M174" s="52" t="str">
        <f>IFERROR(INDEX('OBA Dump'!D:D,MATCH($E174*1,'OBA Dump'!$A:$A,0)),"")</f>
        <v/>
      </c>
      <c r="N174" s="52"/>
      <c r="O174" s="52"/>
      <c r="P174" s="53"/>
      <c r="Q174" s="52"/>
      <c r="R174" s="38" t="str">
        <f>_xlfn.IFNA(VLOOKUP(E174,'Pre-Booked Holidays'!A:B,2,0),"")</f>
        <v/>
      </c>
      <c r="S174" s="38" t="str">
        <f>IF(E174="","",IF(IFERROR(VLOOKUP(E174,'Onbase Report'!D:E,2,0),"")&lt;&gt;"","Details in Onbase","No Details"))</f>
        <v/>
      </c>
      <c r="T174" s="38" t="str">
        <f>IF(LEFT('Salesforce Dump'!Q171,5)="BHX10",LEFT('Salesforce Dump'!Q171,5),LEFT('Salesforce Dump'!Q171,4))</f>
        <v/>
      </c>
      <c r="U174" s="38"/>
    </row>
    <row r="175" spans="1:21" ht="14.5" x14ac:dyDescent="0.35">
      <c r="A175" s="47" t="str">
        <f>IF('Salesforce Dump'!A172&lt;&gt;"",'Salesforce Dump'!A172,"")</f>
        <v/>
      </c>
      <c r="B175" s="48"/>
      <c r="C175" s="49" t="str">
        <f>IF('Salesforce Dump'!B172&lt;&gt;"",'Salesforce Dump'!B172,"")</f>
        <v/>
      </c>
      <c r="D175" s="48"/>
      <c r="E175" s="50" t="str">
        <f>IF('Salesforce Dump'!C172&lt;&gt;"",'Salesforce Dump'!C172,"")</f>
        <v/>
      </c>
      <c r="F175" s="49" t="str">
        <f>IF('Salesforce Dump'!D172&lt;&gt;"",'Salesforce Dump'!D172,"")</f>
        <v/>
      </c>
      <c r="G175" s="49" t="str">
        <f>IF('Salesforce Dump'!E172&lt;&gt;"",'Salesforce Dump'!E172,"")</f>
        <v/>
      </c>
      <c r="H175" s="49" t="str">
        <f>IF('Salesforce Dump'!G172&lt;&gt;"",'Salesforce Dump'!G172,"")</f>
        <v/>
      </c>
      <c r="I175" s="49" t="str">
        <f>IF('Salesforce Dump'!H172&lt;&gt;"",'Salesforce Dump'!H172,"")</f>
        <v/>
      </c>
      <c r="J175" s="51" t="str">
        <f>IF('Salesforce Dump'!I172&lt;&gt;"",'Salesforce Dump'!I172,"")</f>
        <v/>
      </c>
      <c r="K175" s="51" t="str">
        <f>IF('Salesforce Dump'!J172&lt;&gt;"",'Salesforce Dump'!J172,"")</f>
        <v/>
      </c>
      <c r="L175" s="52" t="str">
        <f>IFERROR(INDEX('OBA Dump'!C:C,MATCH($E175*1,'OBA Dump'!$A:$A,0)),"")</f>
        <v/>
      </c>
      <c r="M175" s="52" t="str">
        <f>IFERROR(INDEX('OBA Dump'!D:D,MATCH($E175*1,'OBA Dump'!$A:$A,0)),"")</f>
        <v/>
      </c>
      <c r="N175" s="52"/>
      <c r="O175" s="52"/>
      <c r="P175" s="53"/>
      <c r="Q175" s="52"/>
      <c r="R175" s="38" t="str">
        <f>_xlfn.IFNA(VLOOKUP(E175,'Pre-Booked Holidays'!A:B,2,0),"")</f>
        <v/>
      </c>
      <c r="S175" s="38" t="str">
        <f>IF(E175="","",IF(IFERROR(VLOOKUP(E175,'Onbase Report'!D:E,2,0),"")&lt;&gt;"","Details in Onbase","No Details"))</f>
        <v/>
      </c>
      <c r="T175" s="38" t="str">
        <f>IF(LEFT('Salesforce Dump'!Q172,5)="BHX10",LEFT('Salesforce Dump'!Q172,5),LEFT('Salesforce Dump'!Q172,4))</f>
        <v/>
      </c>
      <c r="U175" s="38"/>
    </row>
    <row r="176" spans="1:21" ht="14.5" x14ac:dyDescent="0.35">
      <c r="A176" s="47" t="str">
        <f>IF('Salesforce Dump'!A173&lt;&gt;"",'Salesforce Dump'!A173,"")</f>
        <v/>
      </c>
      <c r="B176" s="48"/>
      <c r="C176" s="49" t="str">
        <f>IF('Salesforce Dump'!B173&lt;&gt;"",'Salesforce Dump'!B173,"")</f>
        <v/>
      </c>
      <c r="D176" s="48"/>
      <c r="E176" s="50" t="str">
        <f>IF('Salesforce Dump'!C173&lt;&gt;"",'Salesforce Dump'!C173,"")</f>
        <v/>
      </c>
      <c r="F176" s="49" t="str">
        <f>IF('Salesforce Dump'!D173&lt;&gt;"",'Salesforce Dump'!D173,"")</f>
        <v/>
      </c>
      <c r="G176" s="49" t="str">
        <f>IF('Salesforce Dump'!E173&lt;&gt;"",'Salesforce Dump'!E173,"")</f>
        <v/>
      </c>
      <c r="H176" s="49" t="str">
        <f>IF('Salesforce Dump'!G173&lt;&gt;"",'Salesforce Dump'!G173,"")</f>
        <v/>
      </c>
      <c r="I176" s="49" t="str">
        <f>IF('Salesforce Dump'!H173&lt;&gt;"",'Salesforce Dump'!H173,"")</f>
        <v/>
      </c>
      <c r="J176" s="51" t="str">
        <f>IF('Salesforce Dump'!I173&lt;&gt;"",'Salesforce Dump'!I173,"")</f>
        <v/>
      </c>
      <c r="K176" s="51" t="str">
        <f>IF('Salesforce Dump'!J173&lt;&gt;"",'Salesforce Dump'!J173,"")</f>
        <v/>
      </c>
      <c r="L176" s="52" t="str">
        <f>IFERROR(INDEX('OBA Dump'!C:C,MATCH($E176*1,'OBA Dump'!$A:$A,0)),"")</f>
        <v/>
      </c>
      <c r="M176" s="52" t="str">
        <f>IFERROR(INDEX('OBA Dump'!D:D,MATCH($E176*1,'OBA Dump'!$A:$A,0)),"")</f>
        <v/>
      </c>
      <c r="N176" s="52"/>
      <c r="O176" s="52"/>
      <c r="P176" s="53"/>
      <c r="Q176" s="52"/>
      <c r="R176" s="38" t="str">
        <f>_xlfn.IFNA(VLOOKUP(E176,'Pre-Booked Holidays'!A:B,2,0),"")</f>
        <v/>
      </c>
      <c r="S176" s="38" t="str">
        <f>IF(E176="","",IF(IFERROR(VLOOKUP(E176,'Onbase Report'!D:E,2,0),"")&lt;&gt;"","Details in Onbase","No Details"))</f>
        <v/>
      </c>
      <c r="T176" s="38" t="str">
        <f>IF(LEFT('Salesforce Dump'!Q173,5)="BHX10",LEFT('Salesforce Dump'!Q173,5),LEFT('Salesforce Dump'!Q173,4))</f>
        <v/>
      </c>
      <c r="U176" s="38"/>
    </row>
    <row r="177" spans="1:21" ht="14.5" x14ac:dyDescent="0.35">
      <c r="A177" s="47" t="str">
        <f>IF('Salesforce Dump'!A174&lt;&gt;"",'Salesforce Dump'!A174,"")</f>
        <v/>
      </c>
      <c r="B177" s="48"/>
      <c r="C177" s="49" t="str">
        <f>IF('Salesforce Dump'!B174&lt;&gt;"",'Salesforce Dump'!B174,"")</f>
        <v/>
      </c>
      <c r="D177" s="48"/>
      <c r="E177" s="50" t="str">
        <f>IF('Salesforce Dump'!C174&lt;&gt;"",'Salesforce Dump'!C174,"")</f>
        <v/>
      </c>
      <c r="F177" s="49" t="str">
        <f>IF('Salesforce Dump'!D174&lt;&gt;"",'Salesforce Dump'!D174,"")</f>
        <v/>
      </c>
      <c r="G177" s="49" t="str">
        <f>IF('Salesforce Dump'!E174&lt;&gt;"",'Salesforce Dump'!E174,"")</f>
        <v/>
      </c>
      <c r="H177" s="49" t="str">
        <f>IF('Salesforce Dump'!G174&lt;&gt;"",'Salesforce Dump'!G174,"")</f>
        <v/>
      </c>
      <c r="I177" s="49" t="str">
        <f>IF('Salesforce Dump'!H174&lt;&gt;"",'Salesforce Dump'!H174,"")</f>
        <v/>
      </c>
      <c r="J177" s="51" t="str">
        <f>IF('Salesforce Dump'!I174&lt;&gt;"",'Salesforce Dump'!I174,"")</f>
        <v/>
      </c>
      <c r="K177" s="51" t="str">
        <f>IF('Salesforce Dump'!J174&lt;&gt;"",'Salesforce Dump'!J174,"")</f>
        <v/>
      </c>
      <c r="L177" s="52" t="str">
        <f>IFERROR(INDEX('OBA Dump'!C:C,MATCH($E177*1,'OBA Dump'!$A:$A,0)),"")</f>
        <v/>
      </c>
      <c r="M177" s="52" t="str">
        <f>IFERROR(INDEX('OBA Dump'!D:D,MATCH($E177*1,'OBA Dump'!$A:$A,0)),"")</f>
        <v/>
      </c>
      <c r="N177" s="52"/>
      <c r="O177" s="52"/>
      <c r="P177" s="53"/>
      <c r="Q177" s="52"/>
      <c r="R177" s="38" t="str">
        <f>_xlfn.IFNA(VLOOKUP(E177,'Pre-Booked Holidays'!A:B,2,0),"")</f>
        <v/>
      </c>
      <c r="S177" s="38" t="str">
        <f>IF(E177="","",IF(IFERROR(VLOOKUP(E177,'Onbase Report'!D:E,2,0),"")&lt;&gt;"","Details in Onbase","No Details"))</f>
        <v/>
      </c>
      <c r="T177" s="38" t="str">
        <f>IF(LEFT('Salesforce Dump'!Q174,5)="BHX10",LEFT('Salesforce Dump'!Q174,5),LEFT('Salesforce Dump'!Q174,4))</f>
        <v/>
      </c>
      <c r="U177" s="38"/>
    </row>
    <row r="178" spans="1:21" ht="14.5" x14ac:dyDescent="0.35">
      <c r="A178" s="47" t="str">
        <f>IF('Salesforce Dump'!A175&lt;&gt;"",'Salesforce Dump'!A175,"")</f>
        <v/>
      </c>
      <c r="B178" s="48"/>
      <c r="C178" s="49" t="str">
        <f>IF('Salesforce Dump'!B175&lt;&gt;"",'Salesforce Dump'!B175,"")</f>
        <v/>
      </c>
      <c r="D178" s="48"/>
      <c r="E178" s="50" t="str">
        <f>IF('Salesforce Dump'!C175&lt;&gt;"",'Salesforce Dump'!C175,"")</f>
        <v/>
      </c>
      <c r="F178" s="49" t="str">
        <f>IF('Salesforce Dump'!D175&lt;&gt;"",'Salesforce Dump'!D175,"")</f>
        <v/>
      </c>
      <c r="G178" s="49" t="str">
        <f>IF('Salesforce Dump'!E175&lt;&gt;"",'Salesforce Dump'!E175,"")</f>
        <v/>
      </c>
      <c r="H178" s="49" t="str">
        <f>IF('Salesforce Dump'!G175&lt;&gt;"",'Salesforce Dump'!G175,"")</f>
        <v/>
      </c>
      <c r="I178" s="49" t="str">
        <f>IF('Salesforce Dump'!H175&lt;&gt;"",'Salesforce Dump'!H175,"")</f>
        <v/>
      </c>
      <c r="J178" s="51" t="str">
        <f>IF('Salesforce Dump'!I175&lt;&gt;"",'Salesforce Dump'!I175,"")</f>
        <v/>
      </c>
      <c r="K178" s="51" t="str">
        <f>IF('Salesforce Dump'!J175&lt;&gt;"",'Salesforce Dump'!J175,"")</f>
        <v/>
      </c>
      <c r="L178" s="52" t="str">
        <f>IFERROR(INDEX('OBA Dump'!C:C,MATCH($E178*1,'OBA Dump'!$A:$A,0)),"")</f>
        <v/>
      </c>
      <c r="M178" s="52" t="str">
        <f>IFERROR(INDEX('OBA Dump'!D:D,MATCH($E178*1,'OBA Dump'!$A:$A,0)),"")</f>
        <v/>
      </c>
      <c r="N178" s="52"/>
      <c r="O178" s="52"/>
      <c r="P178" s="53"/>
      <c r="Q178" s="52"/>
      <c r="R178" s="38" t="str">
        <f>_xlfn.IFNA(VLOOKUP(E178,'Pre-Booked Holidays'!A:B,2,0),"")</f>
        <v/>
      </c>
      <c r="S178" s="38" t="str">
        <f>IF(E178="","",IF(IFERROR(VLOOKUP(E178,'Onbase Report'!D:E,2,0),"")&lt;&gt;"","Details in Onbase","No Details"))</f>
        <v/>
      </c>
      <c r="T178" s="38" t="str">
        <f>IF(LEFT('Salesforce Dump'!Q175,5)="BHX10",LEFT('Salesforce Dump'!Q175,5),LEFT('Salesforce Dump'!Q175,4))</f>
        <v/>
      </c>
      <c r="U178" s="38"/>
    </row>
    <row r="179" spans="1:21" ht="14.5" x14ac:dyDescent="0.35">
      <c r="A179" s="47" t="str">
        <f>IF('Salesforce Dump'!A176&lt;&gt;"",'Salesforce Dump'!A176,"")</f>
        <v/>
      </c>
      <c r="B179" s="48"/>
      <c r="C179" s="49" t="str">
        <f>IF('Salesforce Dump'!B176&lt;&gt;"",'Salesforce Dump'!B176,"")</f>
        <v/>
      </c>
      <c r="D179" s="48"/>
      <c r="E179" s="50" t="str">
        <f>IF('Salesforce Dump'!C176&lt;&gt;"",'Salesforce Dump'!C176,"")</f>
        <v/>
      </c>
      <c r="F179" s="49" t="str">
        <f>IF('Salesforce Dump'!D176&lt;&gt;"",'Salesforce Dump'!D176,"")</f>
        <v/>
      </c>
      <c r="G179" s="49" t="str">
        <f>IF('Salesforce Dump'!E176&lt;&gt;"",'Salesforce Dump'!E176,"")</f>
        <v/>
      </c>
      <c r="H179" s="49" t="str">
        <f>IF('Salesforce Dump'!G176&lt;&gt;"",'Salesforce Dump'!G176,"")</f>
        <v/>
      </c>
      <c r="I179" s="49" t="str">
        <f>IF('Salesforce Dump'!H176&lt;&gt;"",'Salesforce Dump'!H176,"")</f>
        <v/>
      </c>
      <c r="J179" s="51" t="str">
        <f>IF('Salesforce Dump'!I176&lt;&gt;"",'Salesforce Dump'!I176,"")</f>
        <v/>
      </c>
      <c r="K179" s="51" t="str">
        <f>IF('Salesforce Dump'!J176&lt;&gt;"",'Salesforce Dump'!J176,"")</f>
        <v/>
      </c>
      <c r="L179" s="52" t="str">
        <f>IFERROR(INDEX('OBA Dump'!C:C,MATCH($E179*1,'OBA Dump'!$A:$A,0)),"")</f>
        <v/>
      </c>
      <c r="M179" s="52" t="str">
        <f>IFERROR(INDEX('OBA Dump'!D:D,MATCH($E179*1,'OBA Dump'!$A:$A,0)),"")</f>
        <v/>
      </c>
      <c r="N179" s="52"/>
      <c r="O179" s="52"/>
      <c r="P179" s="53"/>
      <c r="Q179" s="52"/>
      <c r="R179" s="38" t="str">
        <f>_xlfn.IFNA(VLOOKUP(E179,'Pre-Booked Holidays'!A:B,2,0),"")</f>
        <v/>
      </c>
      <c r="S179" s="38" t="str">
        <f>IF(E179="","",IF(IFERROR(VLOOKUP(E179,'Onbase Report'!D:E,2,0),"")&lt;&gt;"","Details in Onbase","No Details"))</f>
        <v/>
      </c>
      <c r="T179" s="38" t="str">
        <f>IF(LEFT('Salesforce Dump'!Q176,5)="BHX10",LEFT('Salesforce Dump'!Q176,5),LEFT('Salesforce Dump'!Q176,4))</f>
        <v/>
      </c>
      <c r="U179" s="38"/>
    </row>
    <row r="180" spans="1:21" ht="14.5" x14ac:dyDescent="0.35">
      <c r="A180" s="47" t="str">
        <f>IF('Salesforce Dump'!A177&lt;&gt;"",'Salesforce Dump'!A177,"")</f>
        <v/>
      </c>
      <c r="B180" s="48"/>
      <c r="C180" s="49" t="str">
        <f>IF('Salesforce Dump'!B177&lt;&gt;"",'Salesforce Dump'!B177,"")</f>
        <v/>
      </c>
      <c r="D180" s="48"/>
      <c r="E180" s="50" t="str">
        <f>IF('Salesforce Dump'!C177&lt;&gt;"",'Salesforce Dump'!C177,"")</f>
        <v/>
      </c>
      <c r="F180" s="49" t="str">
        <f>IF('Salesforce Dump'!D177&lt;&gt;"",'Salesforce Dump'!D177,"")</f>
        <v/>
      </c>
      <c r="G180" s="49" t="str">
        <f>IF('Salesforce Dump'!E177&lt;&gt;"",'Salesforce Dump'!E177,"")</f>
        <v/>
      </c>
      <c r="H180" s="49" t="str">
        <f>IF('Salesforce Dump'!G177&lt;&gt;"",'Salesforce Dump'!G177,"")</f>
        <v/>
      </c>
      <c r="I180" s="49" t="str">
        <f>IF('Salesforce Dump'!H177&lt;&gt;"",'Salesforce Dump'!H177,"")</f>
        <v/>
      </c>
      <c r="J180" s="51" t="str">
        <f>IF('Salesforce Dump'!I177&lt;&gt;"",'Salesforce Dump'!I177,"")</f>
        <v/>
      </c>
      <c r="K180" s="51" t="str">
        <f>IF('Salesforce Dump'!J177&lt;&gt;"",'Salesforce Dump'!J177,"")</f>
        <v/>
      </c>
      <c r="L180" s="52" t="str">
        <f>IFERROR(INDEX('OBA Dump'!C:C,MATCH($E180*1,'OBA Dump'!$A:$A,0)),"")</f>
        <v/>
      </c>
      <c r="M180" s="52" t="str">
        <f>IFERROR(INDEX('OBA Dump'!D:D,MATCH($E180*1,'OBA Dump'!$A:$A,0)),"")</f>
        <v/>
      </c>
      <c r="N180" s="52"/>
      <c r="O180" s="52"/>
      <c r="P180" s="53"/>
      <c r="Q180" s="52"/>
      <c r="R180" s="38" t="str">
        <f>_xlfn.IFNA(VLOOKUP(E180,'Pre-Booked Holidays'!A:B,2,0),"")</f>
        <v/>
      </c>
      <c r="S180" s="38" t="str">
        <f>IF(E180="","",IF(IFERROR(VLOOKUP(E180,'Onbase Report'!D:E,2,0),"")&lt;&gt;"","Details in Onbase","No Details"))</f>
        <v/>
      </c>
      <c r="T180" s="38" t="str">
        <f>IF(LEFT('Salesforce Dump'!Q177,5)="BHX10",LEFT('Salesforce Dump'!Q177,5),LEFT('Salesforce Dump'!Q177,4))</f>
        <v/>
      </c>
      <c r="U180" s="38"/>
    </row>
    <row r="181" spans="1:21" ht="14.5" x14ac:dyDescent="0.35">
      <c r="A181" s="47" t="str">
        <f>IF('Salesforce Dump'!A178&lt;&gt;"",'Salesforce Dump'!A178,"")</f>
        <v/>
      </c>
      <c r="B181" s="48"/>
      <c r="C181" s="49" t="str">
        <f>IF('Salesforce Dump'!B178&lt;&gt;"",'Salesforce Dump'!B178,"")</f>
        <v/>
      </c>
      <c r="D181" s="48"/>
      <c r="E181" s="50" t="str">
        <f>IF('Salesforce Dump'!C178&lt;&gt;"",'Salesforce Dump'!C178,"")</f>
        <v/>
      </c>
      <c r="F181" s="49" t="str">
        <f>IF('Salesforce Dump'!D178&lt;&gt;"",'Salesforce Dump'!D178,"")</f>
        <v/>
      </c>
      <c r="G181" s="49" t="str">
        <f>IF('Salesforce Dump'!E178&lt;&gt;"",'Salesforce Dump'!E178,"")</f>
        <v/>
      </c>
      <c r="H181" s="49" t="str">
        <f>IF('Salesforce Dump'!G178&lt;&gt;"",'Salesforce Dump'!G178,"")</f>
        <v/>
      </c>
      <c r="I181" s="49" t="str">
        <f>IF('Salesforce Dump'!H178&lt;&gt;"",'Salesforce Dump'!H178,"")</f>
        <v/>
      </c>
      <c r="J181" s="51" t="str">
        <f>IF('Salesforce Dump'!I178&lt;&gt;"",'Salesforce Dump'!I178,"")</f>
        <v/>
      </c>
      <c r="K181" s="51" t="str">
        <f>IF('Salesforce Dump'!J178&lt;&gt;"",'Salesforce Dump'!J178,"")</f>
        <v/>
      </c>
      <c r="L181" s="52" t="str">
        <f>IFERROR(INDEX('OBA Dump'!C:C,MATCH($E181*1,'OBA Dump'!$A:$A,0)),"")</f>
        <v/>
      </c>
      <c r="M181" s="52" t="str">
        <f>IFERROR(INDEX('OBA Dump'!D:D,MATCH($E181*1,'OBA Dump'!$A:$A,0)),"")</f>
        <v/>
      </c>
      <c r="N181" s="52"/>
      <c r="O181" s="52"/>
      <c r="P181" s="53"/>
      <c r="Q181" s="52"/>
      <c r="R181" s="38" t="str">
        <f>_xlfn.IFNA(VLOOKUP(E181,'Pre-Booked Holidays'!A:B,2,0),"")</f>
        <v/>
      </c>
      <c r="S181" s="38" t="str">
        <f>IF(E181="","",IF(IFERROR(VLOOKUP(E181,'Onbase Report'!D:E,2,0),"")&lt;&gt;"","Details in Onbase","No Details"))</f>
        <v/>
      </c>
      <c r="T181" s="38" t="str">
        <f>IF(LEFT('Salesforce Dump'!Q178,5)="BHX10",LEFT('Salesforce Dump'!Q178,5),LEFT('Salesforce Dump'!Q178,4))</f>
        <v/>
      </c>
      <c r="U181" s="38"/>
    </row>
    <row r="182" spans="1:21" ht="14.5" x14ac:dyDescent="0.35">
      <c r="A182" s="47" t="str">
        <f>IF('Salesforce Dump'!A179&lt;&gt;"",'Salesforce Dump'!A179,"")</f>
        <v/>
      </c>
      <c r="B182" s="48"/>
      <c r="C182" s="49" t="str">
        <f>IF('Salesforce Dump'!B179&lt;&gt;"",'Salesforce Dump'!B179,"")</f>
        <v/>
      </c>
      <c r="D182" s="48"/>
      <c r="E182" s="50" t="str">
        <f>IF('Salesforce Dump'!C179&lt;&gt;"",'Salesforce Dump'!C179,"")</f>
        <v/>
      </c>
      <c r="F182" s="49" t="str">
        <f>IF('Salesforce Dump'!D179&lt;&gt;"",'Salesforce Dump'!D179,"")</f>
        <v/>
      </c>
      <c r="G182" s="49" t="str">
        <f>IF('Salesforce Dump'!E179&lt;&gt;"",'Salesforce Dump'!E179,"")</f>
        <v/>
      </c>
      <c r="H182" s="49" t="str">
        <f>IF('Salesforce Dump'!G179&lt;&gt;"",'Salesforce Dump'!G179,"")</f>
        <v/>
      </c>
      <c r="I182" s="49" t="str">
        <f>IF('Salesforce Dump'!H179&lt;&gt;"",'Salesforce Dump'!H179,"")</f>
        <v/>
      </c>
      <c r="J182" s="51" t="str">
        <f>IF('Salesforce Dump'!I179&lt;&gt;"",'Salesforce Dump'!I179,"")</f>
        <v/>
      </c>
      <c r="K182" s="51" t="str">
        <f>IF('Salesforce Dump'!J179&lt;&gt;"",'Salesforce Dump'!J179,"")</f>
        <v/>
      </c>
      <c r="L182" s="52" t="str">
        <f>IFERROR(INDEX('OBA Dump'!C:C,MATCH($E182*1,'OBA Dump'!$A:$A,0)),"")</f>
        <v/>
      </c>
      <c r="M182" s="52" t="str">
        <f>IFERROR(INDEX('OBA Dump'!D:D,MATCH($E182*1,'OBA Dump'!$A:$A,0)),"")</f>
        <v/>
      </c>
      <c r="N182" s="52"/>
      <c r="O182" s="52"/>
      <c r="P182" s="53"/>
      <c r="Q182" s="52"/>
      <c r="R182" s="38" t="str">
        <f>_xlfn.IFNA(VLOOKUP(E182,'Pre-Booked Holidays'!A:B,2,0),"")</f>
        <v/>
      </c>
      <c r="S182" s="38" t="str">
        <f>IF(E182="","",IF(IFERROR(VLOOKUP(E182,'Onbase Report'!D:E,2,0),"")&lt;&gt;"","Details in Onbase","No Details"))</f>
        <v/>
      </c>
      <c r="T182" s="38" t="str">
        <f>IF(LEFT('Salesforce Dump'!Q179,5)="BHX10",LEFT('Salesforce Dump'!Q179,5),LEFT('Salesforce Dump'!Q179,4))</f>
        <v/>
      </c>
      <c r="U182" s="38"/>
    </row>
    <row r="183" spans="1:21" ht="14.5" x14ac:dyDescent="0.35">
      <c r="A183" s="47" t="str">
        <f>IF('Salesforce Dump'!A180&lt;&gt;"",'Salesforce Dump'!A180,"")</f>
        <v/>
      </c>
      <c r="B183" s="48"/>
      <c r="C183" s="49" t="str">
        <f>IF('Salesforce Dump'!B180&lt;&gt;"",'Salesforce Dump'!B180,"")</f>
        <v/>
      </c>
      <c r="D183" s="48"/>
      <c r="E183" s="50" t="str">
        <f>IF('Salesforce Dump'!C180&lt;&gt;"",'Salesforce Dump'!C180,"")</f>
        <v/>
      </c>
      <c r="F183" s="49" t="str">
        <f>IF('Salesforce Dump'!D180&lt;&gt;"",'Salesforce Dump'!D180,"")</f>
        <v/>
      </c>
      <c r="G183" s="49" t="str">
        <f>IF('Salesforce Dump'!E180&lt;&gt;"",'Salesforce Dump'!E180,"")</f>
        <v/>
      </c>
      <c r="H183" s="49" t="str">
        <f>IF('Salesforce Dump'!G180&lt;&gt;"",'Salesforce Dump'!G180,"")</f>
        <v/>
      </c>
      <c r="I183" s="49" t="str">
        <f>IF('Salesforce Dump'!H180&lt;&gt;"",'Salesforce Dump'!H180,"")</f>
        <v/>
      </c>
      <c r="J183" s="51" t="str">
        <f>IF('Salesforce Dump'!I180&lt;&gt;"",'Salesforce Dump'!I180,"")</f>
        <v/>
      </c>
      <c r="K183" s="51" t="str">
        <f>IF('Salesforce Dump'!J180&lt;&gt;"",'Salesforce Dump'!J180,"")</f>
        <v/>
      </c>
      <c r="L183" s="52" t="str">
        <f>IFERROR(INDEX('OBA Dump'!C:C,MATCH($E183*1,'OBA Dump'!$A:$A,0)),"")</f>
        <v/>
      </c>
      <c r="M183" s="52" t="str">
        <f>IFERROR(INDEX('OBA Dump'!D:D,MATCH($E183*1,'OBA Dump'!$A:$A,0)),"")</f>
        <v/>
      </c>
      <c r="N183" s="52"/>
      <c r="O183" s="52"/>
      <c r="P183" s="53"/>
      <c r="Q183" s="52"/>
      <c r="R183" s="38" t="str">
        <f>_xlfn.IFNA(VLOOKUP(E183,'Pre-Booked Holidays'!A:B,2,0),"")</f>
        <v/>
      </c>
      <c r="S183" s="38" t="str">
        <f>IF(E183="","",IF(IFERROR(VLOOKUP(E183,'Onbase Report'!D:E,2,0),"")&lt;&gt;"","Details in Onbase","No Details"))</f>
        <v/>
      </c>
      <c r="T183" s="38" t="str">
        <f>IF(LEFT('Salesforce Dump'!Q180,5)="BHX10",LEFT('Salesforce Dump'!Q180,5),LEFT('Salesforce Dump'!Q180,4))</f>
        <v/>
      </c>
      <c r="U183" s="38"/>
    </row>
    <row r="184" spans="1:21" ht="14.5" x14ac:dyDescent="0.35">
      <c r="A184" s="47" t="str">
        <f>IF('Salesforce Dump'!A181&lt;&gt;"",'Salesforce Dump'!A181,"")</f>
        <v/>
      </c>
      <c r="B184" s="48"/>
      <c r="C184" s="49" t="str">
        <f>IF('Salesforce Dump'!B181&lt;&gt;"",'Salesforce Dump'!B181,"")</f>
        <v/>
      </c>
      <c r="D184" s="48"/>
      <c r="E184" s="50" t="str">
        <f>IF('Salesforce Dump'!C181&lt;&gt;"",'Salesforce Dump'!C181,"")</f>
        <v/>
      </c>
      <c r="F184" s="49" t="str">
        <f>IF('Salesforce Dump'!D181&lt;&gt;"",'Salesforce Dump'!D181,"")</f>
        <v/>
      </c>
      <c r="G184" s="49" t="str">
        <f>IF('Salesforce Dump'!E181&lt;&gt;"",'Salesforce Dump'!E181,"")</f>
        <v/>
      </c>
      <c r="H184" s="49" t="str">
        <f>IF('Salesforce Dump'!G181&lt;&gt;"",'Salesforce Dump'!G181,"")</f>
        <v/>
      </c>
      <c r="I184" s="49" t="str">
        <f>IF('Salesforce Dump'!H181&lt;&gt;"",'Salesforce Dump'!H181,"")</f>
        <v/>
      </c>
      <c r="J184" s="51" t="str">
        <f>IF('Salesforce Dump'!I181&lt;&gt;"",'Salesforce Dump'!I181,"")</f>
        <v/>
      </c>
      <c r="K184" s="51" t="str">
        <f>IF('Salesforce Dump'!J181&lt;&gt;"",'Salesforce Dump'!J181,"")</f>
        <v/>
      </c>
      <c r="L184" s="52" t="str">
        <f>IFERROR(INDEX('OBA Dump'!C:C,MATCH($E184*1,'OBA Dump'!$A:$A,0)),"")</f>
        <v/>
      </c>
      <c r="M184" s="52" t="str">
        <f>IFERROR(INDEX('OBA Dump'!D:D,MATCH($E184*1,'OBA Dump'!$A:$A,0)),"")</f>
        <v/>
      </c>
      <c r="N184" s="52"/>
      <c r="O184" s="52"/>
      <c r="P184" s="53"/>
      <c r="Q184" s="52"/>
      <c r="R184" s="38" t="str">
        <f>_xlfn.IFNA(VLOOKUP(E184,'Pre-Booked Holidays'!A:B,2,0),"")</f>
        <v/>
      </c>
      <c r="S184" s="38" t="str">
        <f>IF(E184="","",IF(IFERROR(VLOOKUP(E184,'Onbase Report'!D:E,2,0),"")&lt;&gt;"","Details in Onbase","No Details"))</f>
        <v/>
      </c>
      <c r="T184" s="38" t="str">
        <f>IF(LEFT('Salesforce Dump'!Q181,5)="BHX10",LEFT('Salesforce Dump'!Q181,5),LEFT('Salesforce Dump'!Q181,4))</f>
        <v/>
      </c>
      <c r="U184" s="38"/>
    </row>
    <row r="185" spans="1:21" ht="14.5" x14ac:dyDescent="0.35">
      <c r="A185" s="47" t="str">
        <f>IF('Salesforce Dump'!A182&lt;&gt;"",'Salesforce Dump'!A182,"")</f>
        <v/>
      </c>
      <c r="B185" s="48"/>
      <c r="C185" s="49" t="str">
        <f>IF('Salesforce Dump'!B182&lt;&gt;"",'Salesforce Dump'!B182,"")</f>
        <v/>
      </c>
      <c r="D185" s="48"/>
      <c r="E185" s="50" t="str">
        <f>IF('Salesforce Dump'!C182&lt;&gt;"",'Salesforce Dump'!C182,"")</f>
        <v/>
      </c>
      <c r="F185" s="49" t="str">
        <f>IF('Salesforce Dump'!D182&lt;&gt;"",'Salesforce Dump'!D182,"")</f>
        <v/>
      </c>
      <c r="G185" s="49" t="str">
        <f>IF('Salesforce Dump'!E182&lt;&gt;"",'Salesforce Dump'!E182,"")</f>
        <v/>
      </c>
      <c r="H185" s="49" t="str">
        <f>IF('Salesforce Dump'!G182&lt;&gt;"",'Salesforce Dump'!G182,"")</f>
        <v/>
      </c>
      <c r="I185" s="49" t="str">
        <f>IF('Salesforce Dump'!H182&lt;&gt;"",'Salesforce Dump'!H182,"")</f>
        <v/>
      </c>
      <c r="J185" s="51" t="str">
        <f>IF('Salesforce Dump'!I182&lt;&gt;"",'Salesforce Dump'!I182,"")</f>
        <v/>
      </c>
      <c r="K185" s="51" t="str">
        <f>IF('Salesforce Dump'!J182&lt;&gt;"",'Salesforce Dump'!J182,"")</f>
        <v/>
      </c>
      <c r="L185" s="52" t="str">
        <f>IFERROR(INDEX('OBA Dump'!C:C,MATCH($E185*1,'OBA Dump'!$A:$A,0)),"")</f>
        <v/>
      </c>
      <c r="M185" s="52" t="str">
        <f>IFERROR(INDEX('OBA Dump'!D:D,MATCH($E185*1,'OBA Dump'!$A:$A,0)),"")</f>
        <v/>
      </c>
      <c r="N185" s="52"/>
      <c r="O185" s="52"/>
      <c r="P185" s="53"/>
      <c r="Q185" s="52"/>
      <c r="R185" s="38" t="str">
        <f>_xlfn.IFNA(VLOOKUP(E185,'Pre-Booked Holidays'!A:B,2,0),"")</f>
        <v/>
      </c>
      <c r="S185" s="38" t="str">
        <f>IF(E185="","",IF(IFERROR(VLOOKUP(E185,'Onbase Report'!D:E,2,0),"")&lt;&gt;"","Details in Onbase","No Details"))</f>
        <v/>
      </c>
      <c r="T185" s="38" t="str">
        <f>IF(LEFT('Salesforce Dump'!Q182,5)="BHX10",LEFT('Salesforce Dump'!Q182,5),LEFT('Salesforce Dump'!Q182,4))</f>
        <v/>
      </c>
      <c r="U185" s="38"/>
    </row>
    <row r="186" spans="1:21" ht="14.5" x14ac:dyDescent="0.35">
      <c r="A186" s="47" t="str">
        <f>IF('Salesforce Dump'!A183&lt;&gt;"",'Salesforce Dump'!A183,"")</f>
        <v/>
      </c>
      <c r="B186" s="48"/>
      <c r="C186" s="49" t="str">
        <f>IF('Salesforce Dump'!B183&lt;&gt;"",'Salesforce Dump'!B183,"")</f>
        <v/>
      </c>
      <c r="D186" s="48"/>
      <c r="E186" s="50" t="str">
        <f>IF('Salesforce Dump'!C183&lt;&gt;"",'Salesforce Dump'!C183,"")</f>
        <v/>
      </c>
      <c r="F186" s="49" t="str">
        <f>IF('Salesforce Dump'!D183&lt;&gt;"",'Salesforce Dump'!D183,"")</f>
        <v/>
      </c>
      <c r="G186" s="49" t="str">
        <f>IF('Salesforce Dump'!E183&lt;&gt;"",'Salesforce Dump'!E183,"")</f>
        <v/>
      </c>
      <c r="H186" s="49" t="str">
        <f>IF('Salesforce Dump'!G183&lt;&gt;"",'Salesforce Dump'!G183,"")</f>
        <v/>
      </c>
      <c r="I186" s="49" t="str">
        <f>IF('Salesforce Dump'!H183&lt;&gt;"",'Salesforce Dump'!H183,"")</f>
        <v/>
      </c>
      <c r="J186" s="51" t="str">
        <f>IF('Salesforce Dump'!I183&lt;&gt;"",'Salesforce Dump'!I183,"")</f>
        <v/>
      </c>
      <c r="K186" s="51" t="str">
        <f>IF('Salesforce Dump'!J183&lt;&gt;"",'Salesforce Dump'!J183,"")</f>
        <v/>
      </c>
      <c r="L186" s="52" t="str">
        <f>IFERROR(INDEX('OBA Dump'!C:C,MATCH($E186*1,'OBA Dump'!$A:$A,0)),"")</f>
        <v/>
      </c>
      <c r="M186" s="52" t="str">
        <f>IFERROR(INDEX('OBA Dump'!D:D,MATCH($E186*1,'OBA Dump'!$A:$A,0)),"")</f>
        <v/>
      </c>
      <c r="N186" s="52"/>
      <c r="O186" s="52"/>
      <c r="P186" s="53"/>
      <c r="Q186" s="52"/>
      <c r="R186" s="38" t="str">
        <f>_xlfn.IFNA(VLOOKUP(E186,'Pre-Booked Holidays'!A:B,2,0),"")</f>
        <v/>
      </c>
      <c r="S186" s="38" t="str">
        <f>IF(E186="","",IF(IFERROR(VLOOKUP(E186,'Onbase Report'!D:E,2,0),"")&lt;&gt;"","Details in Onbase","No Details"))</f>
        <v/>
      </c>
      <c r="T186" s="38" t="str">
        <f>IF(LEFT('Salesforce Dump'!Q183,5)="BHX10",LEFT('Salesforce Dump'!Q183,5),LEFT('Salesforce Dump'!Q183,4))</f>
        <v/>
      </c>
      <c r="U186" s="38"/>
    </row>
    <row r="187" spans="1:21" ht="14.5" x14ac:dyDescent="0.35">
      <c r="A187" s="47" t="str">
        <f>IF('Salesforce Dump'!A184&lt;&gt;"",'Salesforce Dump'!A184,"")</f>
        <v/>
      </c>
      <c r="B187" s="48"/>
      <c r="C187" s="49" t="str">
        <f>IF('Salesforce Dump'!B184&lt;&gt;"",'Salesforce Dump'!B184,"")</f>
        <v/>
      </c>
      <c r="D187" s="48"/>
      <c r="E187" s="50" t="str">
        <f>IF('Salesforce Dump'!C184&lt;&gt;"",'Salesforce Dump'!C184,"")</f>
        <v/>
      </c>
      <c r="F187" s="49" t="str">
        <f>IF('Salesforce Dump'!D184&lt;&gt;"",'Salesforce Dump'!D184,"")</f>
        <v/>
      </c>
      <c r="G187" s="49" t="str">
        <f>IF('Salesforce Dump'!E184&lt;&gt;"",'Salesforce Dump'!E184,"")</f>
        <v/>
      </c>
      <c r="H187" s="49" t="str">
        <f>IF('Salesforce Dump'!G184&lt;&gt;"",'Salesforce Dump'!G184,"")</f>
        <v/>
      </c>
      <c r="I187" s="49" t="str">
        <f>IF('Salesforce Dump'!H184&lt;&gt;"",'Salesforce Dump'!H184,"")</f>
        <v/>
      </c>
      <c r="J187" s="51" t="str">
        <f>IF('Salesforce Dump'!I184&lt;&gt;"",'Salesforce Dump'!I184,"")</f>
        <v/>
      </c>
      <c r="K187" s="51" t="str">
        <f>IF('Salesforce Dump'!J184&lt;&gt;"",'Salesforce Dump'!J184,"")</f>
        <v/>
      </c>
      <c r="L187" s="52" t="str">
        <f>IFERROR(INDEX('OBA Dump'!C:C,MATCH($E187*1,'OBA Dump'!$A:$A,0)),"")</f>
        <v/>
      </c>
      <c r="M187" s="52" t="str">
        <f>IFERROR(INDEX('OBA Dump'!D:D,MATCH($E187*1,'OBA Dump'!$A:$A,0)),"")</f>
        <v/>
      </c>
      <c r="N187" s="52"/>
      <c r="O187" s="52"/>
      <c r="P187" s="53"/>
      <c r="Q187" s="52"/>
      <c r="R187" s="38" t="str">
        <f>_xlfn.IFNA(VLOOKUP(E187,'Pre-Booked Holidays'!A:B,2,0),"")</f>
        <v/>
      </c>
      <c r="S187" s="38" t="str">
        <f>IF(E187="","",IF(IFERROR(VLOOKUP(E187,'Onbase Report'!D:E,2,0),"")&lt;&gt;"","Details in Onbase","No Details"))</f>
        <v/>
      </c>
      <c r="T187" s="38" t="str">
        <f>IF(LEFT('Salesforce Dump'!Q184,5)="BHX10",LEFT('Salesforce Dump'!Q184,5),LEFT('Salesforce Dump'!Q184,4))</f>
        <v/>
      </c>
      <c r="U187" s="38"/>
    </row>
    <row r="188" spans="1:21" ht="14.5" x14ac:dyDescent="0.35">
      <c r="A188" s="47" t="str">
        <f>IF('Salesforce Dump'!A185&lt;&gt;"",'Salesforce Dump'!A185,"")</f>
        <v/>
      </c>
      <c r="B188" s="48"/>
      <c r="C188" s="49" t="str">
        <f>IF('Salesforce Dump'!B185&lt;&gt;"",'Salesforce Dump'!B185,"")</f>
        <v/>
      </c>
      <c r="D188" s="48"/>
      <c r="E188" s="50" t="str">
        <f>IF('Salesforce Dump'!C185&lt;&gt;"",'Salesforce Dump'!C185,"")</f>
        <v/>
      </c>
      <c r="F188" s="49" t="str">
        <f>IF('Salesforce Dump'!D185&lt;&gt;"",'Salesforce Dump'!D185,"")</f>
        <v/>
      </c>
      <c r="G188" s="49" t="str">
        <f>IF('Salesforce Dump'!E185&lt;&gt;"",'Salesforce Dump'!E185,"")</f>
        <v/>
      </c>
      <c r="H188" s="49" t="str">
        <f>IF('Salesforce Dump'!G185&lt;&gt;"",'Salesforce Dump'!G185,"")</f>
        <v/>
      </c>
      <c r="I188" s="49" t="str">
        <f>IF('Salesforce Dump'!H185&lt;&gt;"",'Salesforce Dump'!H185,"")</f>
        <v/>
      </c>
      <c r="J188" s="51" t="str">
        <f>IF('Salesforce Dump'!I185&lt;&gt;"",'Salesforce Dump'!I185,"")</f>
        <v/>
      </c>
      <c r="K188" s="51" t="str">
        <f>IF('Salesforce Dump'!J185&lt;&gt;"",'Salesforce Dump'!J185,"")</f>
        <v/>
      </c>
      <c r="L188" s="52" t="str">
        <f>IFERROR(INDEX('OBA Dump'!C:C,MATCH($E188*1,'OBA Dump'!$A:$A,0)),"")</f>
        <v/>
      </c>
      <c r="M188" s="52" t="str">
        <f>IFERROR(INDEX('OBA Dump'!D:D,MATCH($E188*1,'OBA Dump'!$A:$A,0)),"")</f>
        <v/>
      </c>
      <c r="N188" s="52"/>
      <c r="O188" s="52"/>
      <c r="P188" s="53"/>
      <c r="Q188" s="52"/>
      <c r="R188" s="38" t="str">
        <f>_xlfn.IFNA(VLOOKUP(E188,'Pre-Booked Holidays'!A:B,2,0),"")</f>
        <v/>
      </c>
      <c r="S188" s="38" t="str">
        <f>IF(E188="","",IF(IFERROR(VLOOKUP(E188,'Onbase Report'!D:E,2,0),"")&lt;&gt;"","Details in Onbase","No Details"))</f>
        <v/>
      </c>
      <c r="T188" s="38" t="str">
        <f>IF(LEFT('Salesforce Dump'!Q185,5)="BHX10",LEFT('Salesforce Dump'!Q185,5),LEFT('Salesforce Dump'!Q185,4))</f>
        <v/>
      </c>
      <c r="U188" s="38"/>
    </row>
    <row r="189" spans="1:21" ht="14.5" x14ac:dyDescent="0.35">
      <c r="A189" s="47" t="str">
        <f>IF('Salesforce Dump'!A186&lt;&gt;"",'Salesforce Dump'!A186,"")</f>
        <v/>
      </c>
      <c r="B189" s="48"/>
      <c r="C189" s="49" t="str">
        <f>IF('Salesforce Dump'!B186&lt;&gt;"",'Salesforce Dump'!B186,"")</f>
        <v/>
      </c>
      <c r="D189" s="48"/>
      <c r="E189" s="50" t="str">
        <f>IF('Salesforce Dump'!C186&lt;&gt;"",'Salesforce Dump'!C186,"")</f>
        <v/>
      </c>
      <c r="F189" s="49" t="str">
        <f>IF('Salesforce Dump'!D186&lt;&gt;"",'Salesforce Dump'!D186,"")</f>
        <v/>
      </c>
      <c r="G189" s="49" t="str">
        <f>IF('Salesforce Dump'!E186&lt;&gt;"",'Salesforce Dump'!E186,"")</f>
        <v/>
      </c>
      <c r="H189" s="49" t="str">
        <f>IF('Salesforce Dump'!G186&lt;&gt;"",'Salesforce Dump'!G186,"")</f>
        <v/>
      </c>
      <c r="I189" s="49" t="str">
        <f>IF('Salesforce Dump'!H186&lt;&gt;"",'Salesforce Dump'!H186,"")</f>
        <v/>
      </c>
      <c r="J189" s="51" t="str">
        <f>IF('Salesforce Dump'!I186&lt;&gt;"",'Salesforce Dump'!I186,"")</f>
        <v/>
      </c>
      <c r="K189" s="51" t="str">
        <f>IF('Salesforce Dump'!J186&lt;&gt;"",'Salesforce Dump'!J186,"")</f>
        <v/>
      </c>
      <c r="L189" s="52" t="str">
        <f>IFERROR(INDEX('OBA Dump'!C:C,MATCH($E189*1,'OBA Dump'!$A:$A,0)),"")</f>
        <v/>
      </c>
      <c r="M189" s="52" t="str">
        <f>IFERROR(INDEX('OBA Dump'!D:D,MATCH($E189*1,'OBA Dump'!$A:$A,0)),"")</f>
        <v/>
      </c>
      <c r="N189" s="52"/>
      <c r="O189" s="52"/>
      <c r="P189" s="53"/>
      <c r="Q189" s="52"/>
      <c r="R189" s="38" t="str">
        <f>_xlfn.IFNA(VLOOKUP(E189,'Pre-Booked Holidays'!A:B,2,0),"")</f>
        <v/>
      </c>
      <c r="S189" s="38" t="str">
        <f>IF(E189="","",IF(IFERROR(VLOOKUP(E189,'Onbase Report'!D:E,2,0),"")&lt;&gt;"","Details in Onbase","No Details"))</f>
        <v/>
      </c>
      <c r="T189" s="38" t="str">
        <f>IF(LEFT('Salesforce Dump'!Q186,5)="BHX10",LEFT('Salesforce Dump'!Q186,5),LEFT('Salesforce Dump'!Q186,4))</f>
        <v/>
      </c>
      <c r="U189" s="38"/>
    </row>
    <row r="190" spans="1:21" ht="14.5" x14ac:dyDescent="0.35">
      <c r="A190" s="47" t="str">
        <f>IF('Salesforce Dump'!A187&lt;&gt;"",'Salesforce Dump'!A187,"")</f>
        <v/>
      </c>
      <c r="B190" s="48"/>
      <c r="C190" s="49" t="str">
        <f>IF('Salesforce Dump'!B187&lt;&gt;"",'Salesforce Dump'!B187,"")</f>
        <v/>
      </c>
      <c r="D190" s="48"/>
      <c r="E190" s="50" t="str">
        <f>IF('Salesforce Dump'!C187&lt;&gt;"",'Salesforce Dump'!C187,"")</f>
        <v/>
      </c>
      <c r="F190" s="49" t="str">
        <f>IF('Salesforce Dump'!D187&lt;&gt;"",'Salesforce Dump'!D187,"")</f>
        <v/>
      </c>
      <c r="G190" s="49" t="str">
        <f>IF('Salesforce Dump'!E187&lt;&gt;"",'Salesforce Dump'!E187,"")</f>
        <v/>
      </c>
      <c r="H190" s="49" t="str">
        <f>IF('Salesforce Dump'!G187&lt;&gt;"",'Salesforce Dump'!G187,"")</f>
        <v/>
      </c>
      <c r="I190" s="49" t="str">
        <f>IF('Salesforce Dump'!H187&lt;&gt;"",'Salesforce Dump'!H187,"")</f>
        <v/>
      </c>
      <c r="J190" s="51" t="str">
        <f>IF('Salesforce Dump'!I187&lt;&gt;"",'Salesforce Dump'!I187,"")</f>
        <v/>
      </c>
      <c r="K190" s="51" t="str">
        <f>IF('Salesforce Dump'!J187&lt;&gt;"",'Salesforce Dump'!J187,"")</f>
        <v/>
      </c>
      <c r="L190" s="52" t="str">
        <f>IFERROR(INDEX('OBA Dump'!C:C,MATCH($E190*1,'OBA Dump'!$A:$A,0)),"")</f>
        <v/>
      </c>
      <c r="M190" s="52" t="str">
        <f>IFERROR(INDEX('OBA Dump'!D:D,MATCH($E190*1,'OBA Dump'!$A:$A,0)),"")</f>
        <v/>
      </c>
      <c r="N190" s="52"/>
      <c r="O190" s="52"/>
      <c r="P190" s="53"/>
      <c r="Q190" s="52"/>
      <c r="R190" s="38" t="str">
        <f>_xlfn.IFNA(VLOOKUP(E190,'Pre-Booked Holidays'!A:B,2,0),"")</f>
        <v/>
      </c>
      <c r="S190" s="38" t="str">
        <f>IF(E190="","",IF(IFERROR(VLOOKUP(E190,'Onbase Report'!D:E,2,0),"")&lt;&gt;"","Details in Onbase","No Details"))</f>
        <v/>
      </c>
      <c r="T190" s="38" t="str">
        <f>IF(LEFT('Salesforce Dump'!Q187,5)="BHX10",LEFT('Salesforce Dump'!Q187,5),LEFT('Salesforce Dump'!Q187,4))</f>
        <v/>
      </c>
      <c r="U190" s="38"/>
    </row>
    <row r="191" spans="1:21" ht="14.5" x14ac:dyDescent="0.35">
      <c r="A191" s="47" t="str">
        <f>IF('Salesforce Dump'!A188&lt;&gt;"",'Salesforce Dump'!A188,"")</f>
        <v/>
      </c>
      <c r="B191" s="48"/>
      <c r="C191" s="49" t="str">
        <f>IF('Salesforce Dump'!B188&lt;&gt;"",'Salesforce Dump'!B188,"")</f>
        <v/>
      </c>
      <c r="D191" s="48"/>
      <c r="E191" s="50" t="str">
        <f>IF('Salesforce Dump'!C188&lt;&gt;"",'Salesforce Dump'!C188,"")</f>
        <v/>
      </c>
      <c r="F191" s="49" t="str">
        <f>IF('Salesforce Dump'!D188&lt;&gt;"",'Salesforce Dump'!D188,"")</f>
        <v/>
      </c>
      <c r="G191" s="49" t="str">
        <f>IF('Salesforce Dump'!E188&lt;&gt;"",'Salesforce Dump'!E188,"")</f>
        <v/>
      </c>
      <c r="H191" s="49" t="str">
        <f>IF('Salesforce Dump'!G188&lt;&gt;"",'Salesforce Dump'!G188,"")</f>
        <v/>
      </c>
      <c r="I191" s="49" t="str">
        <f>IF('Salesforce Dump'!H188&lt;&gt;"",'Salesforce Dump'!H188,"")</f>
        <v/>
      </c>
      <c r="J191" s="51" t="str">
        <f>IF('Salesforce Dump'!I188&lt;&gt;"",'Salesforce Dump'!I188,"")</f>
        <v/>
      </c>
      <c r="K191" s="51" t="str">
        <f>IF('Salesforce Dump'!J188&lt;&gt;"",'Salesforce Dump'!J188,"")</f>
        <v/>
      </c>
      <c r="L191" s="52" t="str">
        <f>IFERROR(INDEX('OBA Dump'!C:C,MATCH($E191*1,'OBA Dump'!$A:$A,0)),"")</f>
        <v/>
      </c>
      <c r="M191" s="52" t="str">
        <f>IFERROR(INDEX('OBA Dump'!D:D,MATCH($E191*1,'OBA Dump'!$A:$A,0)),"")</f>
        <v/>
      </c>
      <c r="N191" s="52"/>
      <c r="O191" s="52"/>
      <c r="P191" s="53"/>
      <c r="Q191" s="52"/>
      <c r="R191" s="38" t="str">
        <f>_xlfn.IFNA(VLOOKUP(E191,'Pre-Booked Holidays'!A:B,2,0),"")</f>
        <v/>
      </c>
      <c r="S191" s="38" t="str">
        <f>IF(E191="","",IF(IFERROR(VLOOKUP(E191,'Onbase Report'!D:E,2,0),"")&lt;&gt;"","Details in Onbase","No Details"))</f>
        <v/>
      </c>
      <c r="T191" s="38" t="str">
        <f>IF(LEFT('Salesforce Dump'!Q188,5)="BHX10",LEFT('Salesforce Dump'!Q188,5),LEFT('Salesforce Dump'!Q188,4))</f>
        <v/>
      </c>
      <c r="U191" s="38"/>
    </row>
    <row r="192" spans="1:21" ht="14.5" x14ac:dyDescent="0.35">
      <c r="A192" s="47" t="str">
        <f>IF('Salesforce Dump'!A189&lt;&gt;"",'Salesforce Dump'!A189,"")</f>
        <v/>
      </c>
      <c r="B192" s="48"/>
      <c r="C192" s="49" t="str">
        <f>IF('Salesforce Dump'!B189&lt;&gt;"",'Salesforce Dump'!B189,"")</f>
        <v/>
      </c>
      <c r="D192" s="48"/>
      <c r="E192" s="50" t="str">
        <f>IF('Salesforce Dump'!C189&lt;&gt;"",'Salesforce Dump'!C189,"")</f>
        <v/>
      </c>
      <c r="F192" s="49" t="str">
        <f>IF('Salesforce Dump'!D189&lt;&gt;"",'Salesforce Dump'!D189,"")</f>
        <v/>
      </c>
      <c r="G192" s="49" t="str">
        <f>IF('Salesforce Dump'!E189&lt;&gt;"",'Salesforce Dump'!E189,"")</f>
        <v/>
      </c>
      <c r="H192" s="49" t="str">
        <f>IF('Salesforce Dump'!G189&lt;&gt;"",'Salesforce Dump'!G189,"")</f>
        <v/>
      </c>
      <c r="I192" s="49" t="str">
        <f>IF('Salesforce Dump'!H189&lt;&gt;"",'Salesforce Dump'!H189,"")</f>
        <v/>
      </c>
      <c r="J192" s="51" t="str">
        <f>IF('Salesforce Dump'!I189&lt;&gt;"",'Salesforce Dump'!I189,"")</f>
        <v/>
      </c>
      <c r="K192" s="51" t="str">
        <f>IF('Salesforce Dump'!J189&lt;&gt;"",'Salesforce Dump'!J189,"")</f>
        <v/>
      </c>
      <c r="L192" s="52" t="str">
        <f>IFERROR(INDEX('OBA Dump'!C:C,MATCH($E192*1,'OBA Dump'!$A:$A,0)),"")</f>
        <v/>
      </c>
      <c r="M192" s="52" t="str">
        <f>IFERROR(INDEX('OBA Dump'!D:D,MATCH($E192*1,'OBA Dump'!$A:$A,0)),"")</f>
        <v/>
      </c>
      <c r="N192" s="52"/>
      <c r="O192" s="52"/>
      <c r="P192" s="53"/>
      <c r="Q192" s="52"/>
      <c r="R192" s="38" t="str">
        <f>_xlfn.IFNA(VLOOKUP(E192,'Pre-Booked Holidays'!A:B,2,0),"")</f>
        <v/>
      </c>
      <c r="S192" s="38" t="str">
        <f>IF(E192="","",IF(IFERROR(VLOOKUP(E192,'Onbase Report'!D:E,2,0),"")&lt;&gt;"","Details in Onbase","No Details"))</f>
        <v/>
      </c>
      <c r="T192" s="38" t="str">
        <f>IF(LEFT('Salesforce Dump'!Q189,5)="BHX10",LEFT('Salesforce Dump'!Q189,5),LEFT('Salesforce Dump'!Q189,4))</f>
        <v/>
      </c>
      <c r="U192" s="38"/>
    </row>
    <row r="193" spans="1:21" ht="14.5" x14ac:dyDescent="0.35">
      <c r="A193" s="47" t="str">
        <f>IF('Salesforce Dump'!A190&lt;&gt;"",'Salesforce Dump'!A190,"")</f>
        <v/>
      </c>
      <c r="B193" s="48"/>
      <c r="C193" s="49" t="str">
        <f>IF('Salesforce Dump'!B190&lt;&gt;"",'Salesforce Dump'!B190,"")</f>
        <v/>
      </c>
      <c r="D193" s="48"/>
      <c r="E193" s="50" t="str">
        <f>IF('Salesforce Dump'!C190&lt;&gt;"",'Salesforce Dump'!C190,"")</f>
        <v/>
      </c>
      <c r="F193" s="49" t="str">
        <f>IF('Salesforce Dump'!D190&lt;&gt;"",'Salesforce Dump'!D190,"")</f>
        <v/>
      </c>
      <c r="G193" s="49" t="str">
        <f>IF('Salesforce Dump'!E190&lt;&gt;"",'Salesforce Dump'!E190,"")</f>
        <v/>
      </c>
      <c r="H193" s="49" t="str">
        <f>IF('Salesforce Dump'!G190&lt;&gt;"",'Salesforce Dump'!G190,"")</f>
        <v/>
      </c>
      <c r="I193" s="49" t="str">
        <f>IF('Salesforce Dump'!H190&lt;&gt;"",'Salesforce Dump'!H190,"")</f>
        <v/>
      </c>
      <c r="J193" s="51" t="str">
        <f>IF('Salesforce Dump'!I190&lt;&gt;"",'Salesforce Dump'!I190,"")</f>
        <v/>
      </c>
      <c r="K193" s="51" t="str">
        <f>IF('Salesforce Dump'!J190&lt;&gt;"",'Salesforce Dump'!J190,"")</f>
        <v/>
      </c>
      <c r="L193" s="52" t="str">
        <f>IFERROR(INDEX('OBA Dump'!C:C,MATCH($E193*1,'OBA Dump'!$A:$A,0)),"")</f>
        <v/>
      </c>
      <c r="M193" s="52" t="str">
        <f>IFERROR(INDEX('OBA Dump'!D:D,MATCH($E193*1,'OBA Dump'!$A:$A,0)),"")</f>
        <v/>
      </c>
      <c r="N193" s="52"/>
      <c r="O193" s="52"/>
      <c r="P193" s="53"/>
      <c r="Q193" s="52"/>
      <c r="R193" s="38" t="str">
        <f>_xlfn.IFNA(VLOOKUP(E193,'Pre-Booked Holidays'!A:B,2,0),"")</f>
        <v/>
      </c>
      <c r="S193" s="38" t="str">
        <f>IF(E193="","",IF(IFERROR(VLOOKUP(E193,'Onbase Report'!D:E,2,0),"")&lt;&gt;"","Details in Onbase","No Details"))</f>
        <v/>
      </c>
      <c r="T193" s="38" t="str">
        <f>IF(LEFT('Salesforce Dump'!Q190,5)="BHX10",LEFT('Salesforce Dump'!Q190,5),LEFT('Salesforce Dump'!Q190,4))</f>
        <v/>
      </c>
      <c r="U193" s="38"/>
    </row>
    <row r="194" spans="1:21" ht="14.5" x14ac:dyDescent="0.35">
      <c r="A194" s="47" t="str">
        <f>IF('Salesforce Dump'!A191&lt;&gt;"",'Salesforce Dump'!A191,"")</f>
        <v/>
      </c>
      <c r="B194" s="48"/>
      <c r="C194" s="49" t="str">
        <f>IF('Salesforce Dump'!B191&lt;&gt;"",'Salesforce Dump'!B191,"")</f>
        <v/>
      </c>
      <c r="D194" s="48"/>
      <c r="E194" s="50" t="str">
        <f>IF('Salesforce Dump'!C191&lt;&gt;"",'Salesforce Dump'!C191,"")</f>
        <v/>
      </c>
      <c r="F194" s="49" t="str">
        <f>IF('Salesforce Dump'!D191&lt;&gt;"",'Salesforce Dump'!D191,"")</f>
        <v/>
      </c>
      <c r="G194" s="49" t="str">
        <f>IF('Salesforce Dump'!E191&lt;&gt;"",'Salesforce Dump'!E191,"")</f>
        <v/>
      </c>
      <c r="H194" s="49" t="str">
        <f>IF('Salesforce Dump'!G191&lt;&gt;"",'Salesforce Dump'!G191,"")</f>
        <v/>
      </c>
      <c r="I194" s="49" t="str">
        <f>IF('Salesforce Dump'!H191&lt;&gt;"",'Salesforce Dump'!H191,"")</f>
        <v/>
      </c>
      <c r="J194" s="51" t="str">
        <f>IF('Salesforce Dump'!I191&lt;&gt;"",'Salesforce Dump'!I191,"")</f>
        <v/>
      </c>
      <c r="K194" s="51" t="str">
        <f>IF('Salesforce Dump'!J191&lt;&gt;"",'Salesforce Dump'!J191,"")</f>
        <v/>
      </c>
      <c r="L194" s="52" t="str">
        <f>IFERROR(INDEX('OBA Dump'!C:C,MATCH($E194*1,'OBA Dump'!$A:$A,0)),"")</f>
        <v/>
      </c>
      <c r="M194" s="52" t="str">
        <f>IFERROR(INDEX('OBA Dump'!D:D,MATCH($E194*1,'OBA Dump'!$A:$A,0)),"")</f>
        <v/>
      </c>
      <c r="N194" s="52"/>
      <c r="O194" s="52"/>
      <c r="P194" s="53"/>
      <c r="Q194" s="52"/>
      <c r="R194" s="38" t="str">
        <f>_xlfn.IFNA(VLOOKUP(E194,'Pre-Booked Holidays'!A:B,2,0),"")</f>
        <v/>
      </c>
      <c r="S194" s="38" t="str">
        <f>IF(E194="","",IF(IFERROR(VLOOKUP(E194,'Onbase Report'!D:E,2,0),"")&lt;&gt;"","Details in Onbase","No Details"))</f>
        <v/>
      </c>
      <c r="T194" s="38" t="str">
        <f>IF(LEFT('Salesforce Dump'!Q191,5)="BHX10",LEFT('Salesforce Dump'!Q191,5),LEFT('Salesforce Dump'!Q191,4))</f>
        <v/>
      </c>
      <c r="U194" s="38"/>
    </row>
    <row r="195" spans="1:21" ht="14.5" x14ac:dyDescent="0.35">
      <c r="A195" s="47" t="str">
        <f>IF('Salesforce Dump'!A192&lt;&gt;"",'Salesforce Dump'!A192,"")</f>
        <v/>
      </c>
      <c r="B195" s="48"/>
      <c r="C195" s="49" t="str">
        <f>IF('Salesforce Dump'!B192&lt;&gt;"",'Salesforce Dump'!B192,"")</f>
        <v/>
      </c>
      <c r="D195" s="48"/>
      <c r="E195" s="50" t="str">
        <f>IF('Salesforce Dump'!C192&lt;&gt;"",'Salesforce Dump'!C192,"")</f>
        <v/>
      </c>
      <c r="F195" s="49" t="str">
        <f>IF('Salesforce Dump'!D192&lt;&gt;"",'Salesforce Dump'!D192,"")</f>
        <v/>
      </c>
      <c r="G195" s="49" t="str">
        <f>IF('Salesforce Dump'!E192&lt;&gt;"",'Salesforce Dump'!E192,"")</f>
        <v/>
      </c>
      <c r="H195" s="49" t="str">
        <f>IF('Salesforce Dump'!G192&lt;&gt;"",'Salesforce Dump'!G192,"")</f>
        <v/>
      </c>
      <c r="I195" s="49" t="str">
        <f>IF('Salesforce Dump'!H192&lt;&gt;"",'Salesforce Dump'!H192,"")</f>
        <v/>
      </c>
      <c r="J195" s="51" t="str">
        <f>IF('Salesforce Dump'!I192&lt;&gt;"",'Salesforce Dump'!I192,"")</f>
        <v/>
      </c>
      <c r="K195" s="51" t="str">
        <f>IF('Salesforce Dump'!J192&lt;&gt;"",'Salesforce Dump'!J192,"")</f>
        <v/>
      </c>
      <c r="L195" s="52" t="str">
        <f>IFERROR(INDEX('OBA Dump'!C:C,MATCH($E195*1,'OBA Dump'!$A:$A,0)),"")</f>
        <v/>
      </c>
      <c r="M195" s="52" t="str">
        <f>IFERROR(INDEX('OBA Dump'!D:D,MATCH($E195*1,'OBA Dump'!$A:$A,0)),"")</f>
        <v/>
      </c>
      <c r="N195" s="52"/>
      <c r="O195" s="52"/>
      <c r="P195" s="53"/>
      <c r="Q195" s="52"/>
      <c r="R195" s="38" t="str">
        <f>_xlfn.IFNA(VLOOKUP(E195,'Pre-Booked Holidays'!A:B,2,0),"")</f>
        <v/>
      </c>
      <c r="S195" s="38" t="str">
        <f>IF(E195="","",IF(IFERROR(VLOOKUP(E195,'Onbase Report'!D:E,2,0),"")&lt;&gt;"","Details in Onbase","No Details"))</f>
        <v/>
      </c>
      <c r="T195" s="38" t="str">
        <f>IF(LEFT('Salesforce Dump'!Q192,5)="BHX10",LEFT('Salesforce Dump'!Q192,5),LEFT('Salesforce Dump'!Q192,4))</f>
        <v/>
      </c>
      <c r="U195" s="38"/>
    </row>
    <row r="196" spans="1:21" ht="14.5" x14ac:dyDescent="0.35">
      <c r="A196" s="47" t="str">
        <f>IF('Salesforce Dump'!A193&lt;&gt;"",'Salesforce Dump'!A193,"")</f>
        <v/>
      </c>
      <c r="B196" s="48"/>
      <c r="C196" s="49" t="str">
        <f>IF('Salesforce Dump'!B193&lt;&gt;"",'Salesforce Dump'!B193,"")</f>
        <v/>
      </c>
      <c r="D196" s="48"/>
      <c r="E196" s="50" t="str">
        <f>IF('Salesforce Dump'!C193&lt;&gt;"",'Salesforce Dump'!C193,"")</f>
        <v/>
      </c>
      <c r="F196" s="49" t="str">
        <f>IF('Salesforce Dump'!D193&lt;&gt;"",'Salesforce Dump'!D193,"")</f>
        <v/>
      </c>
      <c r="G196" s="49" t="str">
        <f>IF('Salesforce Dump'!E193&lt;&gt;"",'Salesforce Dump'!E193,"")</f>
        <v/>
      </c>
      <c r="H196" s="49" t="str">
        <f>IF('Salesforce Dump'!G193&lt;&gt;"",'Salesforce Dump'!G193,"")</f>
        <v/>
      </c>
      <c r="I196" s="49" t="str">
        <f>IF('Salesforce Dump'!H193&lt;&gt;"",'Salesforce Dump'!H193,"")</f>
        <v/>
      </c>
      <c r="J196" s="51" t="str">
        <f>IF('Salesforce Dump'!I193&lt;&gt;"",'Salesforce Dump'!I193,"")</f>
        <v/>
      </c>
      <c r="K196" s="51" t="str">
        <f>IF('Salesforce Dump'!J193&lt;&gt;"",'Salesforce Dump'!J193,"")</f>
        <v/>
      </c>
      <c r="L196" s="52" t="str">
        <f>IFERROR(INDEX('OBA Dump'!C:C,MATCH($E196*1,'OBA Dump'!$A:$A,0)),"")</f>
        <v/>
      </c>
      <c r="M196" s="52" t="str">
        <f>IFERROR(INDEX('OBA Dump'!D:D,MATCH($E196*1,'OBA Dump'!$A:$A,0)),"")</f>
        <v/>
      </c>
      <c r="N196" s="52"/>
      <c r="O196" s="52"/>
      <c r="P196" s="53"/>
      <c r="Q196" s="52"/>
      <c r="R196" s="38" t="str">
        <f>_xlfn.IFNA(VLOOKUP(E196,'Pre-Booked Holidays'!A:B,2,0),"")</f>
        <v/>
      </c>
      <c r="S196" s="38" t="str">
        <f>IF(E196="","",IF(IFERROR(VLOOKUP(E196,'Onbase Report'!D:E,2,0),"")&lt;&gt;"","Details in Onbase","No Details"))</f>
        <v/>
      </c>
      <c r="T196" s="38" t="str">
        <f>IF(LEFT('Salesforce Dump'!Q193,5)="BHX10",LEFT('Salesforce Dump'!Q193,5),LEFT('Salesforce Dump'!Q193,4))</f>
        <v/>
      </c>
      <c r="U196" s="38"/>
    </row>
    <row r="197" spans="1:21" ht="14.5" x14ac:dyDescent="0.35">
      <c r="A197" s="47" t="str">
        <f>IF('Salesforce Dump'!A194&lt;&gt;"",'Salesforce Dump'!A194,"")</f>
        <v/>
      </c>
      <c r="B197" s="48"/>
      <c r="C197" s="49" t="str">
        <f>IF('Salesforce Dump'!B194&lt;&gt;"",'Salesforce Dump'!B194,"")</f>
        <v/>
      </c>
      <c r="D197" s="48"/>
      <c r="E197" s="50" t="str">
        <f>IF('Salesforce Dump'!C194&lt;&gt;"",'Salesforce Dump'!C194,"")</f>
        <v/>
      </c>
      <c r="F197" s="49" t="str">
        <f>IF('Salesforce Dump'!D194&lt;&gt;"",'Salesforce Dump'!D194,"")</f>
        <v/>
      </c>
      <c r="G197" s="49" t="str">
        <f>IF('Salesforce Dump'!E194&lt;&gt;"",'Salesforce Dump'!E194,"")</f>
        <v/>
      </c>
      <c r="H197" s="49" t="str">
        <f>IF('Salesforce Dump'!G194&lt;&gt;"",'Salesforce Dump'!G194,"")</f>
        <v/>
      </c>
      <c r="I197" s="49" t="str">
        <f>IF('Salesforce Dump'!H194&lt;&gt;"",'Salesforce Dump'!H194,"")</f>
        <v/>
      </c>
      <c r="J197" s="51" t="str">
        <f>IF('Salesforce Dump'!I194&lt;&gt;"",'Salesforce Dump'!I194,"")</f>
        <v/>
      </c>
      <c r="K197" s="51" t="str">
        <f>IF('Salesforce Dump'!J194&lt;&gt;"",'Salesforce Dump'!J194,"")</f>
        <v/>
      </c>
      <c r="L197" s="52" t="str">
        <f>IFERROR(INDEX('OBA Dump'!C:C,MATCH($E197*1,'OBA Dump'!$A:$A,0)),"")</f>
        <v/>
      </c>
      <c r="M197" s="52" t="str">
        <f>IFERROR(INDEX('OBA Dump'!D:D,MATCH($E197*1,'OBA Dump'!$A:$A,0)),"")</f>
        <v/>
      </c>
      <c r="N197" s="52"/>
      <c r="O197" s="52"/>
      <c r="P197" s="53"/>
      <c r="Q197" s="52"/>
      <c r="R197" s="38" t="str">
        <f>_xlfn.IFNA(VLOOKUP(E197,'Pre-Booked Holidays'!A:B,2,0),"")</f>
        <v/>
      </c>
      <c r="S197" s="38" t="str">
        <f>IF(E197="","",IF(IFERROR(VLOOKUP(E197,'Onbase Report'!D:E,2,0),"")&lt;&gt;"","Details in Onbase","No Details"))</f>
        <v/>
      </c>
      <c r="T197" s="38" t="str">
        <f>IF(LEFT('Salesforce Dump'!Q194,5)="BHX10",LEFT('Salesforce Dump'!Q194,5),LEFT('Salesforce Dump'!Q194,4))</f>
        <v/>
      </c>
      <c r="U197" s="38"/>
    </row>
    <row r="198" spans="1:21" ht="14.5" x14ac:dyDescent="0.35">
      <c r="A198" s="47" t="str">
        <f>IF('Salesforce Dump'!A195&lt;&gt;"",'Salesforce Dump'!A195,"")</f>
        <v/>
      </c>
      <c r="B198" s="48"/>
      <c r="C198" s="49" t="str">
        <f>IF('Salesforce Dump'!B195&lt;&gt;"",'Salesforce Dump'!B195,"")</f>
        <v/>
      </c>
      <c r="D198" s="48"/>
      <c r="E198" s="50" t="str">
        <f>IF('Salesforce Dump'!C195&lt;&gt;"",'Salesforce Dump'!C195,"")</f>
        <v/>
      </c>
      <c r="F198" s="49" t="str">
        <f>IF('Salesforce Dump'!D195&lt;&gt;"",'Salesforce Dump'!D195,"")</f>
        <v/>
      </c>
      <c r="G198" s="49" t="str">
        <f>IF('Salesforce Dump'!E195&lt;&gt;"",'Salesforce Dump'!E195,"")</f>
        <v/>
      </c>
      <c r="H198" s="49" t="str">
        <f>IF('Salesforce Dump'!G195&lt;&gt;"",'Salesforce Dump'!G195,"")</f>
        <v/>
      </c>
      <c r="I198" s="49" t="str">
        <f>IF('Salesforce Dump'!H195&lt;&gt;"",'Salesforce Dump'!H195,"")</f>
        <v/>
      </c>
      <c r="J198" s="51" t="str">
        <f>IF('Salesforce Dump'!I195&lt;&gt;"",'Salesforce Dump'!I195,"")</f>
        <v/>
      </c>
      <c r="K198" s="51" t="str">
        <f>IF('Salesforce Dump'!J195&lt;&gt;"",'Salesforce Dump'!J195,"")</f>
        <v/>
      </c>
      <c r="L198" s="52" t="str">
        <f>IFERROR(INDEX('OBA Dump'!C:C,MATCH($E198*1,'OBA Dump'!$A:$A,0)),"")</f>
        <v/>
      </c>
      <c r="M198" s="52" t="str">
        <f>IFERROR(INDEX('OBA Dump'!D:D,MATCH($E198*1,'OBA Dump'!$A:$A,0)),"")</f>
        <v/>
      </c>
      <c r="N198" s="52"/>
      <c r="O198" s="52"/>
      <c r="P198" s="53"/>
      <c r="Q198" s="52"/>
      <c r="R198" s="38" t="str">
        <f>_xlfn.IFNA(VLOOKUP(E198,'Pre-Booked Holidays'!A:B,2,0),"")</f>
        <v/>
      </c>
      <c r="S198" s="38" t="str">
        <f>IF(E198="","",IF(IFERROR(VLOOKUP(E198,'Onbase Report'!D:E,2,0),"")&lt;&gt;"","Details in Onbase","No Details"))</f>
        <v/>
      </c>
      <c r="T198" s="38" t="str">
        <f>IF(LEFT('Salesforce Dump'!Q195,5)="BHX10",LEFT('Salesforce Dump'!Q195,5),LEFT('Salesforce Dump'!Q195,4))</f>
        <v/>
      </c>
      <c r="U198" s="38"/>
    </row>
    <row r="199" spans="1:21" ht="14.5" x14ac:dyDescent="0.35">
      <c r="A199" s="47" t="str">
        <f>IF('Salesforce Dump'!A196&lt;&gt;"",'Salesforce Dump'!A196,"")</f>
        <v/>
      </c>
      <c r="B199" s="48"/>
      <c r="C199" s="49" t="str">
        <f>IF('Salesforce Dump'!B196&lt;&gt;"",'Salesforce Dump'!B196,"")</f>
        <v/>
      </c>
      <c r="D199" s="48"/>
      <c r="E199" s="50" t="str">
        <f>IF('Salesforce Dump'!C196&lt;&gt;"",'Salesforce Dump'!C196,"")</f>
        <v/>
      </c>
      <c r="F199" s="49" t="str">
        <f>IF('Salesforce Dump'!D196&lt;&gt;"",'Salesforce Dump'!D196,"")</f>
        <v/>
      </c>
      <c r="G199" s="49" t="str">
        <f>IF('Salesforce Dump'!E196&lt;&gt;"",'Salesforce Dump'!E196,"")</f>
        <v/>
      </c>
      <c r="H199" s="49" t="str">
        <f>IF('Salesforce Dump'!G196&lt;&gt;"",'Salesforce Dump'!G196,"")</f>
        <v/>
      </c>
      <c r="I199" s="49" t="str">
        <f>IF('Salesforce Dump'!H196&lt;&gt;"",'Salesforce Dump'!H196,"")</f>
        <v/>
      </c>
      <c r="J199" s="51" t="str">
        <f>IF('Salesforce Dump'!I196&lt;&gt;"",'Salesforce Dump'!I196,"")</f>
        <v/>
      </c>
      <c r="K199" s="51" t="str">
        <f>IF('Salesforce Dump'!J196&lt;&gt;"",'Salesforce Dump'!J196,"")</f>
        <v/>
      </c>
      <c r="L199" s="52" t="str">
        <f>IFERROR(INDEX('OBA Dump'!C:C,MATCH($E199*1,'OBA Dump'!$A:$A,0)),"")</f>
        <v/>
      </c>
      <c r="M199" s="52" t="str">
        <f>IFERROR(INDEX('OBA Dump'!D:D,MATCH($E199*1,'OBA Dump'!$A:$A,0)),"")</f>
        <v/>
      </c>
      <c r="N199" s="52"/>
      <c r="O199" s="52"/>
      <c r="P199" s="53"/>
      <c r="Q199" s="52"/>
      <c r="R199" s="38" t="str">
        <f>_xlfn.IFNA(VLOOKUP(E199,'Pre-Booked Holidays'!A:B,2,0),"")</f>
        <v/>
      </c>
      <c r="S199" s="38" t="str">
        <f>IF(E199="","",IF(IFERROR(VLOOKUP(E199,'Onbase Report'!D:E,2,0),"")&lt;&gt;"","Details in Onbase","No Details"))</f>
        <v/>
      </c>
      <c r="T199" s="38" t="str">
        <f>IF(LEFT('Salesforce Dump'!Q196,5)="BHX10",LEFT('Salesforce Dump'!Q196,5),LEFT('Salesforce Dump'!Q196,4))</f>
        <v/>
      </c>
      <c r="U199" s="38"/>
    </row>
    <row r="200" spans="1:21" ht="14.5" x14ac:dyDescent="0.35">
      <c r="A200" s="47" t="str">
        <f>IF('Salesforce Dump'!A197&lt;&gt;"",'Salesforce Dump'!A197,"")</f>
        <v/>
      </c>
      <c r="B200" s="48"/>
      <c r="C200" s="49" t="str">
        <f>IF('Salesforce Dump'!B197&lt;&gt;"",'Salesforce Dump'!B197,"")</f>
        <v/>
      </c>
      <c r="D200" s="48"/>
      <c r="E200" s="50" t="str">
        <f>IF('Salesforce Dump'!C197&lt;&gt;"",'Salesforce Dump'!C197,"")</f>
        <v/>
      </c>
      <c r="F200" s="49" t="str">
        <f>IF('Salesforce Dump'!D197&lt;&gt;"",'Salesforce Dump'!D197,"")</f>
        <v/>
      </c>
      <c r="G200" s="49" t="str">
        <f>IF('Salesforce Dump'!E197&lt;&gt;"",'Salesforce Dump'!E197,"")</f>
        <v/>
      </c>
      <c r="H200" s="49" t="str">
        <f>IF('Salesforce Dump'!G197&lt;&gt;"",'Salesforce Dump'!G197,"")</f>
        <v/>
      </c>
      <c r="I200" s="49" t="str">
        <f>IF('Salesforce Dump'!H197&lt;&gt;"",'Salesforce Dump'!H197,"")</f>
        <v/>
      </c>
      <c r="J200" s="51" t="str">
        <f>IF('Salesforce Dump'!I197&lt;&gt;"",'Salesforce Dump'!I197,"")</f>
        <v/>
      </c>
      <c r="K200" s="51" t="str">
        <f>IF('Salesforce Dump'!J197&lt;&gt;"",'Salesforce Dump'!J197,"")</f>
        <v/>
      </c>
      <c r="L200" s="52" t="str">
        <f>IFERROR(INDEX('OBA Dump'!C:C,MATCH($E200*1,'OBA Dump'!$A:$A,0)),"")</f>
        <v/>
      </c>
      <c r="M200" s="52" t="str">
        <f>IFERROR(INDEX('OBA Dump'!D:D,MATCH($E200*1,'OBA Dump'!$A:$A,0)),"")</f>
        <v/>
      </c>
      <c r="N200" s="52"/>
      <c r="O200" s="52"/>
      <c r="P200" s="53"/>
      <c r="Q200" s="52"/>
      <c r="R200" s="38" t="str">
        <f>_xlfn.IFNA(VLOOKUP(E200,'Pre-Booked Holidays'!A:B,2,0),"")</f>
        <v/>
      </c>
      <c r="S200" s="38" t="str">
        <f>IF(E200="","",IF(IFERROR(VLOOKUP(E200,'Onbase Report'!D:E,2,0),"")&lt;&gt;"","Details in Onbase","No Details"))</f>
        <v/>
      </c>
      <c r="T200" s="38" t="str">
        <f>IF(LEFT('Salesforce Dump'!Q197,5)="BHX10",LEFT('Salesforce Dump'!Q197,5),LEFT('Salesforce Dump'!Q197,4))</f>
        <v/>
      </c>
      <c r="U200" s="38"/>
    </row>
    <row r="201" spans="1:21" ht="14.5" x14ac:dyDescent="0.35">
      <c r="A201" s="47" t="str">
        <f>IF('Salesforce Dump'!A198&lt;&gt;"",'Salesforce Dump'!A198,"")</f>
        <v/>
      </c>
      <c r="B201" s="48"/>
      <c r="C201" s="49" t="str">
        <f>IF('Salesforce Dump'!B198&lt;&gt;"",'Salesforce Dump'!B198,"")</f>
        <v/>
      </c>
      <c r="D201" s="48"/>
      <c r="E201" s="50" t="str">
        <f>IF('Salesforce Dump'!C198&lt;&gt;"",'Salesforce Dump'!C198,"")</f>
        <v/>
      </c>
      <c r="F201" s="49" t="str">
        <f>IF('Salesforce Dump'!D198&lt;&gt;"",'Salesforce Dump'!D198,"")</f>
        <v/>
      </c>
      <c r="G201" s="49" t="str">
        <f>IF('Salesforce Dump'!E198&lt;&gt;"",'Salesforce Dump'!E198,"")</f>
        <v/>
      </c>
      <c r="H201" s="49" t="str">
        <f>IF('Salesforce Dump'!G198&lt;&gt;"",'Salesforce Dump'!G198,"")</f>
        <v/>
      </c>
      <c r="I201" s="49" t="str">
        <f>IF('Salesforce Dump'!H198&lt;&gt;"",'Salesforce Dump'!H198,"")</f>
        <v/>
      </c>
      <c r="J201" s="51" t="str">
        <f>IF('Salesforce Dump'!I198&lt;&gt;"",'Salesforce Dump'!I198,"")</f>
        <v/>
      </c>
      <c r="K201" s="51" t="str">
        <f>IF('Salesforce Dump'!J198&lt;&gt;"",'Salesforce Dump'!J198,"")</f>
        <v/>
      </c>
      <c r="L201" s="52" t="str">
        <f>IFERROR(INDEX('OBA Dump'!C:C,MATCH($E201*1,'OBA Dump'!$A:$A,0)),"")</f>
        <v/>
      </c>
      <c r="M201" s="52" t="str">
        <f>IFERROR(INDEX('OBA Dump'!D:D,MATCH($E201*1,'OBA Dump'!$A:$A,0)),"")</f>
        <v/>
      </c>
      <c r="N201" s="52"/>
      <c r="O201" s="52"/>
      <c r="P201" s="53"/>
      <c r="Q201" s="52"/>
      <c r="R201" s="38" t="str">
        <f>_xlfn.IFNA(VLOOKUP(E201,'Pre-Booked Holidays'!A:B,2,0),"")</f>
        <v/>
      </c>
      <c r="S201" s="38" t="str">
        <f>IF(E201="","",IF(IFERROR(VLOOKUP(E201,'Onbase Report'!D:E,2,0),"")&lt;&gt;"","Details in Onbase","No Details"))</f>
        <v/>
      </c>
      <c r="T201" s="38" t="str">
        <f>IF(LEFT('Salesforce Dump'!Q198,5)="BHX10",LEFT('Salesforce Dump'!Q198,5),LEFT('Salesforce Dump'!Q198,4))</f>
        <v/>
      </c>
      <c r="U201" s="38"/>
    </row>
    <row r="202" spans="1:21" ht="14.5" x14ac:dyDescent="0.35">
      <c r="A202" s="47" t="str">
        <f>IF('Salesforce Dump'!A199&lt;&gt;"",'Salesforce Dump'!A199,"")</f>
        <v/>
      </c>
      <c r="B202" s="48"/>
      <c r="C202" s="49" t="str">
        <f>IF('Salesforce Dump'!B199&lt;&gt;"",'Salesforce Dump'!B199,"")</f>
        <v/>
      </c>
      <c r="D202" s="48"/>
      <c r="E202" s="50" t="str">
        <f>IF('Salesforce Dump'!C199&lt;&gt;"",'Salesforce Dump'!C199,"")</f>
        <v/>
      </c>
      <c r="F202" s="49" t="str">
        <f>IF('Salesforce Dump'!D199&lt;&gt;"",'Salesforce Dump'!D199,"")</f>
        <v/>
      </c>
      <c r="G202" s="49" t="str">
        <f>IF('Salesforce Dump'!E199&lt;&gt;"",'Salesforce Dump'!E199,"")</f>
        <v/>
      </c>
      <c r="H202" s="49" t="str">
        <f>IF('Salesforce Dump'!G199&lt;&gt;"",'Salesforce Dump'!G199,"")</f>
        <v/>
      </c>
      <c r="I202" s="49" t="str">
        <f>IF('Salesforce Dump'!H199&lt;&gt;"",'Salesforce Dump'!H199,"")</f>
        <v/>
      </c>
      <c r="J202" s="51" t="str">
        <f>IF('Salesforce Dump'!I199&lt;&gt;"",'Salesforce Dump'!I199,"")</f>
        <v/>
      </c>
      <c r="K202" s="51" t="str">
        <f>IF('Salesforce Dump'!J199&lt;&gt;"",'Salesforce Dump'!J199,"")</f>
        <v/>
      </c>
      <c r="L202" s="52" t="str">
        <f>IFERROR(INDEX('OBA Dump'!C:C,MATCH($E202*1,'OBA Dump'!$A:$A,0)),"")</f>
        <v/>
      </c>
      <c r="M202" s="52" t="str">
        <f>IFERROR(INDEX('OBA Dump'!D:D,MATCH($E202*1,'OBA Dump'!$A:$A,0)),"")</f>
        <v/>
      </c>
      <c r="N202" s="52"/>
      <c r="O202" s="52"/>
      <c r="P202" s="53"/>
      <c r="Q202" s="52"/>
      <c r="R202" s="38" t="str">
        <f>_xlfn.IFNA(VLOOKUP(E202,'Pre-Booked Holidays'!A:B,2,0),"")</f>
        <v/>
      </c>
      <c r="S202" s="38" t="str">
        <f>IF(E202="","",IF(IFERROR(VLOOKUP(E202,'Onbase Report'!D:E,2,0),"")&lt;&gt;"","Details in Onbase","No Details"))</f>
        <v/>
      </c>
      <c r="T202" s="38" t="str">
        <f>IF(LEFT('Salesforce Dump'!Q199,5)="BHX10",LEFT('Salesforce Dump'!Q199,5),LEFT('Salesforce Dump'!Q199,4))</f>
        <v/>
      </c>
      <c r="U202" s="38"/>
    </row>
    <row r="203" spans="1:21" ht="14.5" x14ac:dyDescent="0.35">
      <c r="A203" s="47" t="str">
        <f>IF('Salesforce Dump'!A200&lt;&gt;"",'Salesforce Dump'!A200,"")</f>
        <v/>
      </c>
      <c r="B203" s="48"/>
      <c r="C203" s="49" t="str">
        <f>IF('Salesforce Dump'!B200&lt;&gt;"",'Salesforce Dump'!B200,"")</f>
        <v/>
      </c>
      <c r="D203" s="48"/>
      <c r="E203" s="50" t="str">
        <f>IF('Salesforce Dump'!C200&lt;&gt;"",'Salesforce Dump'!C200,"")</f>
        <v/>
      </c>
      <c r="F203" s="49" t="str">
        <f>IF('Salesforce Dump'!D200&lt;&gt;"",'Salesforce Dump'!D200,"")</f>
        <v/>
      </c>
      <c r="G203" s="49" t="str">
        <f>IF('Salesforce Dump'!E200&lt;&gt;"",'Salesforce Dump'!E200,"")</f>
        <v/>
      </c>
      <c r="H203" s="49" t="str">
        <f>IF('Salesforce Dump'!G200&lt;&gt;"",'Salesforce Dump'!G200,"")</f>
        <v/>
      </c>
      <c r="I203" s="49" t="str">
        <f>IF('Salesforce Dump'!H200&lt;&gt;"",'Salesforce Dump'!H200,"")</f>
        <v/>
      </c>
      <c r="J203" s="51" t="str">
        <f>IF('Salesforce Dump'!I200&lt;&gt;"",'Salesforce Dump'!I200,"")</f>
        <v/>
      </c>
      <c r="K203" s="51" t="str">
        <f>IF('Salesforce Dump'!J200&lt;&gt;"",'Salesforce Dump'!J200,"")</f>
        <v/>
      </c>
      <c r="L203" s="52" t="str">
        <f>IFERROR(INDEX('OBA Dump'!C:C,MATCH($E203*1,'OBA Dump'!$A:$A,0)),"")</f>
        <v/>
      </c>
      <c r="M203" s="52" t="str">
        <f>IFERROR(INDEX('OBA Dump'!D:D,MATCH($E203*1,'OBA Dump'!$A:$A,0)),"")</f>
        <v/>
      </c>
      <c r="N203" s="52"/>
      <c r="O203" s="52"/>
      <c r="P203" s="53"/>
      <c r="Q203" s="52"/>
      <c r="R203" s="38" t="str">
        <f>_xlfn.IFNA(VLOOKUP(E203,'Pre-Booked Holidays'!A:B,2,0),"")</f>
        <v/>
      </c>
      <c r="S203" s="38" t="str">
        <f>IF(E203="","",IF(IFERROR(VLOOKUP(E203,'Onbase Report'!D:E,2,0),"")&lt;&gt;"","Details in Onbase","No Details"))</f>
        <v/>
      </c>
      <c r="T203" s="38" t="str">
        <f>IF(LEFT('Salesforce Dump'!Q200,5)="BHX10",LEFT('Salesforce Dump'!Q200,5),LEFT('Salesforce Dump'!Q200,4))</f>
        <v/>
      </c>
      <c r="U203" s="38"/>
    </row>
    <row r="204" spans="1:21" ht="14.5" x14ac:dyDescent="0.35">
      <c r="A204" s="47" t="str">
        <f>IF('Salesforce Dump'!A201&lt;&gt;"",'Salesforce Dump'!A201,"")</f>
        <v/>
      </c>
      <c r="B204" s="48"/>
      <c r="C204" s="49" t="str">
        <f>IF('Salesforce Dump'!B201&lt;&gt;"",'Salesforce Dump'!B201,"")</f>
        <v/>
      </c>
      <c r="D204" s="48"/>
      <c r="E204" s="50" t="str">
        <f>IF('Salesforce Dump'!C201&lt;&gt;"",'Salesforce Dump'!C201,"")</f>
        <v/>
      </c>
      <c r="F204" s="49" t="str">
        <f>IF('Salesforce Dump'!D201&lt;&gt;"",'Salesforce Dump'!D201,"")</f>
        <v/>
      </c>
      <c r="G204" s="49" t="str">
        <f>IF('Salesforce Dump'!E201&lt;&gt;"",'Salesforce Dump'!E201,"")</f>
        <v/>
      </c>
      <c r="H204" s="49" t="str">
        <f>IF('Salesforce Dump'!G201&lt;&gt;"",'Salesforce Dump'!G201,"")</f>
        <v/>
      </c>
      <c r="I204" s="49" t="str">
        <f>IF('Salesforce Dump'!H201&lt;&gt;"",'Salesforce Dump'!H201,"")</f>
        <v/>
      </c>
      <c r="J204" s="51" t="str">
        <f>IF('Salesforce Dump'!I201&lt;&gt;"",'Salesforce Dump'!I201,"")</f>
        <v/>
      </c>
      <c r="K204" s="51" t="str">
        <f>IF('Salesforce Dump'!J201&lt;&gt;"",'Salesforce Dump'!J201,"")</f>
        <v/>
      </c>
      <c r="L204" s="52" t="str">
        <f>IFERROR(INDEX('OBA Dump'!C:C,MATCH($E204*1,'OBA Dump'!$A:$A,0)),"")</f>
        <v/>
      </c>
      <c r="M204" s="52" t="str">
        <f>IFERROR(INDEX('OBA Dump'!D:D,MATCH($E204*1,'OBA Dump'!$A:$A,0)),"")</f>
        <v/>
      </c>
      <c r="N204" s="52"/>
      <c r="O204" s="52"/>
      <c r="P204" s="53"/>
      <c r="Q204" s="52"/>
      <c r="R204" s="38" t="str">
        <f>_xlfn.IFNA(VLOOKUP(E204,'Pre-Booked Holidays'!A:B,2,0),"")</f>
        <v/>
      </c>
      <c r="S204" s="38" t="str">
        <f>IF(E204="","",IF(IFERROR(VLOOKUP(E204,'Onbase Report'!D:E,2,0),"")&lt;&gt;"","Details in Onbase","No Details"))</f>
        <v/>
      </c>
      <c r="T204" s="38" t="str">
        <f>IF(LEFT('Salesforce Dump'!Q201,5)="BHX10",LEFT('Salesforce Dump'!Q201,5),LEFT('Salesforce Dump'!Q201,4))</f>
        <v/>
      </c>
      <c r="U204" s="38"/>
    </row>
    <row r="205" spans="1:21" ht="14.5" x14ac:dyDescent="0.35">
      <c r="A205" s="47" t="str">
        <f>IF('Salesforce Dump'!A202&lt;&gt;"",'Salesforce Dump'!A202,"")</f>
        <v/>
      </c>
      <c r="B205" s="48"/>
      <c r="C205" s="49" t="str">
        <f>IF('Salesforce Dump'!B202&lt;&gt;"",'Salesforce Dump'!B202,"")</f>
        <v/>
      </c>
      <c r="D205" s="48"/>
      <c r="E205" s="50" t="str">
        <f>IF('Salesforce Dump'!C202&lt;&gt;"",'Salesforce Dump'!C202,"")</f>
        <v/>
      </c>
      <c r="F205" s="49" t="str">
        <f>IF('Salesforce Dump'!D202&lt;&gt;"",'Salesforce Dump'!D202,"")</f>
        <v/>
      </c>
      <c r="G205" s="49" t="str">
        <f>IF('Salesforce Dump'!E202&lt;&gt;"",'Salesforce Dump'!E202,"")</f>
        <v/>
      </c>
      <c r="H205" s="49" t="str">
        <f>IF('Salesforce Dump'!G202&lt;&gt;"",'Salesforce Dump'!G202,"")</f>
        <v/>
      </c>
      <c r="I205" s="49" t="str">
        <f>IF('Salesforce Dump'!H202&lt;&gt;"",'Salesforce Dump'!H202,"")</f>
        <v/>
      </c>
      <c r="J205" s="51" t="str">
        <f>IF('Salesforce Dump'!I202&lt;&gt;"",'Salesforce Dump'!I202,"")</f>
        <v/>
      </c>
      <c r="K205" s="51" t="str">
        <f>IF('Salesforce Dump'!J202&lt;&gt;"",'Salesforce Dump'!J202,"")</f>
        <v/>
      </c>
      <c r="L205" s="52" t="str">
        <f>IFERROR(INDEX('OBA Dump'!C:C,MATCH($E205*1,'OBA Dump'!$A:$A,0)),"")</f>
        <v/>
      </c>
      <c r="M205" s="52" t="str">
        <f>IFERROR(INDEX('OBA Dump'!D:D,MATCH($E205*1,'OBA Dump'!$A:$A,0)),"")</f>
        <v/>
      </c>
      <c r="N205" s="52"/>
      <c r="O205" s="52"/>
      <c r="P205" s="53"/>
      <c r="Q205" s="52"/>
      <c r="R205" s="38" t="str">
        <f>_xlfn.IFNA(VLOOKUP(E205,'Pre-Booked Holidays'!A:B,2,0),"")</f>
        <v/>
      </c>
      <c r="S205" s="38" t="str">
        <f>IF(E205="","",IF(IFERROR(VLOOKUP(E205,'Onbase Report'!D:E,2,0),"")&lt;&gt;"","Details in Onbase","No Details"))</f>
        <v/>
      </c>
      <c r="T205" s="38" t="str">
        <f>IF(LEFT('Salesforce Dump'!Q202,5)="BHX10",LEFT('Salesforce Dump'!Q202,5),LEFT('Salesforce Dump'!Q202,4))</f>
        <v/>
      </c>
      <c r="U205" s="38"/>
    </row>
    <row r="206" spans="1:21" ht="14.5" x14ac:dyDescent="0.35">
      <c r="A206" s="47" t="str">
        <f>IF('Salesforce Dump'!A203&lt;&gt;"",'Salesforce Dump'!A203,"")</f>
        <v/>
      </c>
      <c r="B206" s="48"/>
      <c r="C206" s="49" t="str">
        <f>IF('Salesforce Dump'!B203&lt;&gt;"",'Salesforce Dump'!B203,"")</f>
        <v/>
      </c>
      <c r="D206" s="48"/>
      <c r="E206" s="50" t="str">
        <f>IF('Salesforce Dump'!C203&lt;&gt;"",'Salesforce Dump'!C203,"")</f>
        <v/>
      </c>
      <c r="F206" s="49" t="str">
        <f>IF('Salesforce Dump'!D203&lt;&gt;"",'Salesforce Dump'!D203,"")</f>
        <v/>
      </c>
      <c r="G206" s="49" t="str">
        <f>IF('Salesforce Dump'!E203&lt;&gt;"",'Salesforce Dump'!E203,"")</f>
        <v/>
      </c>
      <c r="H206" s="49" t="str">
        <f>IF('Salesforce Dump'!G203&lt;&gt;"",'Salesforce Dump'!G203,"")</f>
        <v/>
      </c>
      <c r="I206" s="49" t="str">
        <f>IF('Salesforce Dump'!H203&lt;&gt;"",'Salesforce Dump'!H203,"")</f>
        <v/>
      </c>
      <c r="J206" s="51" t="str">
        <f>IF('Salesforce Dump'!I203&lt;&gt;"",'Salesforce Dump'!I203,"")</f>
        <v/>
      </c>
      <c r="K206" s="51" t="str">
        <f>IF('Salesforce Dump'!J203&lt;&gt;"",'Salesforce Dump'!J203,"")</f>
        <v/>
      </c>
      <c r="L206" s="52" t="str">
        <f>IFERROR(INDEX('OBA Dump'!C:C,MATCH($E206*1,'OBA Dump'!$A:$A,0)),"")</f>
        <v/>
      </c>
      <c r="M206" s="52" t="str">
        <f>IFERROR(INDEX('OBA Dump'!D:D,MATCH($E206*1,'OBA Dump'!$A:$A,0)),"")</f>
        <v/>
      </c>
      <c r="N206" s="52"/>
      <c r="O206" s="52"/>
      <c r="P206" s="53"/>
      <c r="Q206" s="52"/>
      <c r="R206" s="38" t="str">
        <f>_xlfn.IFNA(VLOOKUP(E206,'Pre-Booked Holidays'!A:B,2,0),"")</f>
        <v/>
      </c>
      <c r="S206" s="38" t="str">
        <f>IF(E206="","",IF(IFERROR(VLOOKUP(E206,'Onbase Report'!D:E,2,0),"")&lt;&gt;"","Details in Onbase","No Details"))</f>
        <v/>
      </c>
      <c r="T206" s="38" t="str">
        <f>IF(LEFT('Salesforce Dump'!Q203,5)="BHX10",LEFT('Salesforce Dump'!Q203,5),LEFT('Salesforce Dump'!Q203,4))</f>
        <v/>
      </c>
      <c r="U206" s="38"/>
    </row>
    <row r="207" spans="1:21" ht="14.5" x14ac:dyDescent="0.35">
      <c r="A207" s="47" t="str">
        <f>IF('Salesforce Dump'!A204&lt;&gt;"",'Salesforce Dump'!A204,"")</f>
        <v/>
      </c>
      <c r="B207" s="48"/>
      <c r="C207" s="49" t="str">
        <f>IF('Salesforce Dump'!B204&lt;&gt;"",'Salesforce Dump'!B204,"")</f>
        <v/>
      </c>
      <c r="D207" s="48"/>
      <c r="E207" s="50" t="str">
        <f>IF('Salesforce Dump'!C204&lt;&gt;"",'Salesforce Dump'!C204,"")</f>
        <v/>
      </c>
      <c r="F207" s="49" t="str">
        <f>IF('Salesforce Dump'!D204&lt;&gt;"",'Salesforce Dump'!D204,"")</f>
        <v/>
      </c>
      <c r="G207" s="49" t="str">
        <f>IF('Salesforce Dump'!E204&lt;&gt;"",'Salesforce Dump'!E204,"")</f>
        <v/>
      </c>
      <c r="H207" s="49" t="str">
        <f>IF('Salesforce Dump'!G204&lt;&gt;"",'Salesforce Dump'!G204,"")</f>
        <v/>
      </c>
      <c r="I207" s="49" t="str">
        <f>IF('Salesforce Dump'!H204&lt;&gt;"",'Salesforce Dump'!H204,"")</f>
        <v/>
      </c>
      <c r="J207" s="51" t="str">
        <f>IF('Salesforce Dump'!I204&lt;&gt;"",'Salesforce Dump'!I204,"")</f>
        <v/>
      </c>
      <c r="K207" s="51" t="str">
        <f>IF('Salesforce Dump'!J204&lt;&gt;"",'Salesforce Dump'!J204,"")</f>
        <v/>
      </c>
      <c r="L207" s="52" t="str">
        <f>IFERROR(INDEX('OBA Dump'!C:C,MATCH($E207*1,'OBA Dump'!$A:$A,0)),"")</f>
        <v/>
      </c>
      <c r="M207" s="52" t="str">
        <f>IFERROR(INDEX('OBA Dump'!D:D,MATCH($E207*1,'OBA Dump'!$A:$A,0)),"")</f>
        <v/>
      </c>
      <c r="N207" s="52"/>
      <c r="O207" s="52"/>
      <c r="P207" s="53"/>
      <c r="Q207" s="52"/>
      <c r="R207" s="38" t="str">
        <f>_xlfn.IFNA(VLOOKUP(E207,'Pre-Booked Holidays'!A:B,2,0),"")</f>
        <v/>
      </c>
      <c r="S207" s="38" t="str">
        <f>IF(E207="","",IF(IFERROR(VLOOKUP(E207,'Onbase Report'!D:E,2,0),"")&lt;&gt;"","Details in Onbase","No Details"))</f>
        <v/>
      </c>
      <c r="T207" s="38" t="str">
        <f>IF(LEFT('Salesforce Dump'!Q204,5)="BHX10",LEFT('Salesforce Dump'!Q204,5),LEFT('Salesforce Dump'!Q204,4))</f>
        <v/>
      </c>
      <c r="U207" s="38"/>
    </row>
    <row r="208" spans="1:21" ht="14.5" x14ac:dyDescent="0.35">
      <c r="A208" s="47" t="str">
        <f>IF('Salesforce Dump'!A205&lt;&gt;"",'Salesforce Dump'!A205,"")</f>
        <v/>
      </c>
      <c r="B208" s="48"/>
      <c r="C208" s="49" t="str">
        <f>IF('Salesforce Dump'!B205&lt;&gt;"",'Salesforce Dump'!B205,"")</f>
        <v/>
      </c>
      <c r="D208" s="48"/>
      <c r="E208" s="50" t="str">
        <f>IF('Salesforce Dump'!C205&lt;&gt;"",'Salesforce Dump'!C205,"")</f>
        <v/>
      </c>
      <c r="F208" s="49" t="str">
        <f>IF('Salesforce Dump'!D205&lt;&gt;"",'Salesforce Dump'!D205,"")</f>
        <v/>
      </c>
      <c r="G208" s="49" t="str">
        <f>IF('Salesforce Dump'!E205&lt;&gt;"",'Salesforce Dump'!E205,"")</f>
        <v/>
      </c>
      <c r="H208" s="49" t="str">
        <f>IF('Salesforce Dump'!G205&lt;&gt;"",'Salesforce Dump'!G205,"")</f>
        <v/>
      </c>
      <c r="I208" s="49" t="str">
        <f>IF('Salesforce Dump'!H205&lt;&gt;"",'Salesforce Dump'!H205,"")</f>
        <v/>
      </c>
      <c r="J208" s="51" t="str">
        <f>IF('Salesforce Dump'!I205&lt;&gt;"",'Salesforce Dump'!I205,"")</f>
        <v/>
      </c>
      <c r="K208" s="51" t="str">
        <f>IF('Salesforce Dump'!J205&lt;&gt;"",'Salesforce Dump'!J205,"")</f>
        <v/>
      </c>
      <c r="L208" s="52" t="str">
        <f>IFERROR(INDEX('OBA Dump'!C:C,MATCH($E208*1,'OBA Dump'!$A:$A,0)),"")</f>
        <v/>
      </c>
      <c r="M208" s="52" t="str">
        <f>IFERROR(INDEX('OBA Dump'!D:D,MATCH($E208*1,'OBA Dump'!$A:$A,0)),"")</f>
        <v/>
      </c>
      <c r="N208" s="52"/>
      <c r="O208" s="52"/>
      <c r="P208" s="53"/>
      <c r="Q208" s="52"/>
      <c r="R208" s="38" t="str">
        <f>_xlfn.IFNA(VLOOKUP(E208,'Pre-Booked Holidays'!A:B,2,0),"")</f>
        <v/>
      </c>
      <c r="S208" s="38" t="str">
        <f>IF(E208="","",IF(IFERROR(VLOOKUP(E208,'Onbase Report'!D:E,2,0),"")&lt;&gt;"","Details in Onbase","No Details"))</f>
        <v/>
      </c>
      <c r="T208" s="38" t="str">
        <f>IF(LEFT('Salesforce Dump'!Q205,5)="BHX10",LEFT('Salesforce Dump'!Q205,5),LEFT('Salesforce Dump'!Q205,4))</f>
        <v/>
      </c>
      <c r="U208" s="38"/>
    </row>
    <row r="209" spans="1:21" ht="14.5" x14ac:dyDescent="0.35">
      <c r="A209" s="47" t="str">
        <f>IF('Salesforce Dump'!A206&lt;&gt;"",'Salesforce Dump'!A206,"")</f>
        <v/>
      </c>
      <c r="B209" s="48"/>
      <c r="C209" s="49" t="str">
        <f>IF('Salesforce Dump'!B206&lt;&gt;"",'Salesforce Dump'!B206,"")</f>
        <v/>
      </c>
      <c r="D209" s="48"/>
      <c r="E209" s="50" t="str">
        <f>IF('Salesforce Dump'!C206&lt;&gt;"",'Salesforce Dump'!C206,"")</f>
        <v/>
      </c>
      <c r="F209" s="49" t="str">
        <f>IF('Salesforce Dump'!D206&lt;&gt;"",'Salesforce Dump'!D206,"")</f>
        <v/>
      </c>
      <c r="G209" s="49" t="str">
        <f>IF('Salesforce Dump'!E206&lt;&gt;"",'Salesforce Dump'!E206,"")</f>
        <v/>
      </c>
      <c r="H209" s="49" t="str">
        <f>IF('Salesforce Dump'!G206&lt;&gt;"",'Salesforce Dump'!G206,"")</f>
        <v/>
      </c>
      <c r="I209" s="49" t="str">
        <f>IF('Salesforce Dump'!H206&lt;&gt;"",'Salesforce Dump'!H206,"")</f>
        <v/>
      </c>
      <c r="J209" s="51" t="str">
        <f>IF('Salesforce Dump'!I206&lt;&gt;"",'Salesforce Dump'!I206,"")</f>
        <v/>
      </c>
      <c r="K209" s="51" t="str">
        <f>IF('Salesforce Dump'!J206&lt;&gt;"",'Salesforce Dump'!J206,"")</f>
        <v/>
      </c>
      <c r="L209" s="52" t="str">
        <f>IFERROR(INDEX('OBA Dump'!C:C,MATCH($E209*1,'OBA Dump'!$A:$A,0)),"")</f>
        <v/>
      </c>
      <c r="M209" s="52" t="str">
        <f>IFERROR(INDEX('OBA Dump'!D:D,MATCH($E209*1,'OBA Dump'!$A:$A,0)),"")</f>
        <v/>
      </c>
      <c r="N209" s="52"/>
      <c r="O209" s="52"/>
      <c r="P209" s="53"/>
      <c r="Q209" s="52"/>
      <c r="R209" s="38" t="str">
        <f>_xlfn.IFNA(VLOOKUP(E209,'Pre-Booked Holidays'!A:B,2,0),"")</f>
        <v/>
      </c>
      <c r="S209" s="38" t="str">
        <f>IF(E209="","",IF(IFERROR(VLOOKUP(E209,'Onbase Report'!D:E,2,0),"")&lt;&gt;"","Details in Onbase","No Details"))</f>
        <v/>
      </c>
      <c r="T209" s="38" t="str">
        <f>IF(LEFT('Salesforce Dump'!Q206,5)="BHX10",LEFT('Salesforce Dump'!Q206,5),LEFT('Salesforce Dump'!Q206,4))</f>
        <v/>
      </c>
      <c r="U209" s="38"/>
    </row>
    <row r="210" spans="1:21" ht="14.5" x14ac:dyDescent="0.35">
      <c r="A210" s="47" t="str">
        <f>IF('Salesforce Dump'!A207&lt;&gt;"",'Salesforce Dump'!A207,"")</f>
        <v/>
      </c>
      <c r="B210" s="48"/>
      <c r="C210" s="49" t="str">
        <f>IF('Salesforce Dump'!B207&lt;&gt;"",'Salesforce Dump'!B207,"")</f>
        <v/>
      </c>
      <c r="D210" s="48"/>
      <c r="E210" s="50" t="str">
        <f>IF('Salesforce Dump'!C207&lt;&gt;"",'Salesforce Dump'!C207,"")</f>
        <v/>
      </c>
      <c r="F210" s="49" t="str">
        <f>IF('Salesforce Dump'!D207&lt;&gt;"",'Salesforce Dump'!D207,"")</f>
        <v/>
      </c>
      <c r="G210" s="49" t="str">
        <f>IF('Salesforce Dump'!E207&lt;&gt;"",'Salesforce Dump'!E207,"")</f>
        <v/>
      </c>
      <c r="H210" s="49" t="str">
        <f>IF('Salesforce Dump'!G207&lt;&gt;"",'Salesforce Dump'!G207,"")</f>
        <v/>
      </c>
      <c r="I210" s="49" t="str">
        <f>IF('Salesforce Dump'!H207&lt;&gt;"",'Salesforce Dump'!H207,"")</f>
        <v/>
      </c>
      <c r="J210" s="51" t="str">
        <f>IF('Salesforce Dump'!I207&lt;&gt;"",'Salesforce Dump'!I207,"")</f>
        <v/>
      </c>
      <c r="K210" s="51" t="str">
        <f>IF('Salesforce Dump'!J207&lt;&gt;"",'Salesforce Dump'!J207,"")</f>
        <v/>
      </c>
      <c r="L210" s="52" t="str">
        <f>IFERROR(INDEX('OBA Dump'!C:C,MATCH($E210*1,'OBA Dump'!$A:$A,0)),"")</f>
        <v/>
      </c>
      <c r="M210" s="52" t="str">
        <f>IFERROR(INDEX('OBA Dump'!D:D,MATCH($E210*1,'OBA Dump'!$A:$A,0)),"")</f>
        <v/>
      </c>
      <c r="N210" s="52"/>
      <c r="O210" s="52"/>
      <c r="P210" s="53"/>
      <c r="Q210" s="52"/>
      <c r="R210" s="38" t="str">
        <f>_xlfn.IFNA(VLOOKUP(E210,'Pre-Booked Holidays'!A:B,2,0),"")</f>
        <v/>
      </c>
      <c r="S210" s="38" t="str">
        <f>IF(E210="","",IF(IFERROR(VLOOKUP(E210,'Onbase Report'!D:E,2,0),"")&lt;&gt;"","Details in Onbase","No Details"))</f>
        <v/>
      </c>
      <c r="T210" s="38" t="str">
        <f>IF(LEFT('Salesforce Dump'!Q207,5)="BHX10",LEFT('Salesforce Dump'!Q207,5),LEFT('Salesforce Dump'!Q207,4))</f>
        <v/>
      </c>
      <c r="U210" s="38"/>
    </row>
    <row r="211" spans="1:21" ht="14.5" x14ac:dyDescent="0.35">
      <c r="A211" s="47" t="str">
        <f>IF('Salesforce Dump'!A208&lt;&gt;"",'Salesforce Dump'!A208,"")</f>
        <v/>
      </c>
      <c r="B211" s="48"/>
      <c r="C211" s="49" t="str">
        <f>IF('Salesforce Dump'!B208&lt;&gt;"",'Salesforce Dump'!B208,"")</f>
        <v/>
      </c>
      <c r="D211" s="48"/>
      <c r="E211" s="50" t="str">
        <f>IF('Salesforce Dump'!C208&lt;&gt;"",'Salesforce Dump'!C208,"")</f>
        <v/>
      </c>
      <c r="F211" s="49" t="str">
        <f>IF('Salesforce Dump'!D208&lt;&gt;"",'Salesforce Dump'!D208,"")</f>
        <v/>
      </c>
      <c r="G211" s="49" t="str">
        <f>IF('Salesforce Dump'!E208&lt;&gt;"",'Salesforce Dump'!E208,"")</f>
        <v/>
      </c>
      <c r="H211" s="49" t="str">
        <f>IF('Salesforce Dump'!G208&lt;&gt;"",'Salesforce Dump'!G208,"")</f>
        <v/>
      </c>
      <c r="I211" s="49" t="str">
        <f>IF('Salesforce Dump'!H208&lt;&gt;"",'Salesforce Dump'!H208,"")</f>
        <v/>
      </c>
      <c r="J211" s="51" t="str">
        <f>IF('Salesforce Dump'!I208&lt;&gt;"",'Salesforce Dump'!I208,"")</f>
        <v/>
      </c>
      <c r="K211" s="51" t="str">
        <f>IF('Salesforce Dump'!J208&lt;&gt;"",'Salesforce Dump'!J208,"")</f>
        <v/>
      </c>
      <c r="L211" s="52" t="str">
        <f>IFERROR(INDEX('OBA Dump'!C:C,MATCH($E211*1,'OBA Dump'!$A:$A,0)),"")</f>
        <v/>
      </c>
      <c r="M211" s="52" t="str">
        <f>IFERROR(INDEX('OBA Dump'!D:D,MATCH($E211*1,'OBA Dump'!$A:$A,0)),"")</f>
        <v/>
      </c>
      <c r="N211" s="52"/>
      <c r="O211" s="52"/>
      <c r="P211" s="53"/>
      <c r="Q211" s="52"/>
      <c r="R211" s="38" t="str">
        <f>_xlfn.IFNA(VLOOKUP(E211,'Pre-Booked Holidays'!A:B,2,0),"")</f>
        <v/>
      </c>
      <c r="S211" s="38" t="str">
        <f>IF(E211="","",IF(IFERROR(VLOOKUP(E211,'Onbase Report'!D:E,2,0),"")&lt;&gt;"","Details in Onbase","No Details"))</f>
        <v/>
      </c>
      <c r="T211" s="38" t="str">
        <f>IF(LEFT('Salesforce Dump'!Q208,5)="BHX10",LEFT('Salesforce Dump'!Q208,5),LEFT('Salesforce Dump'!Q208,4))</f>
        <v/>
      </c>
      <c r="U211" s="38"/>
    </row>
    <row r="212" spans="1:21" ht="14.5" x14ac:dyDescent="0.35">
      <c r="A212" s="47" t="str">
        <f>IF('Salesforce Dump'!A209&lt;&gt;"",'Salesforce Dump'!A209,"")</f>
        <v/>
      </c>
      <c r="B212" s="48"/>
      <c r="C212" s="49" t="str">
        <f>IF('Salesforce Dump'!B209&lt;&gt;"",'Salesforce Dump'!B209,"")</f>
        <v/>
      </c>
      <c r="D212" s="48"/>
      <c r="E212" s="50" t="str">
        <f>IF('Salesforce Dump'!C209&lt;&gt;"",'Salesforce Dump'!C209,"")</f>
        <v/>
      </c>
      <c r="F212" s="49" t="str">
        <f>IF('Salesforce Dump'!D209&lt;&gt;"",'Salesforce Dump'!D209,"")</f>
        <v/>
      </c>
      <c r="G212" s="49" t="str">
        <f>IF('Salesforce Dump'!E209&lt;&gt;"",'Salesforce Dump'!E209,"")</f>
        <v/>
      </c>
      <c r="H212" s="49" t="str">
        <f>IF('Salesforce Dump'!G209&lt;&gt;"",'Salesforce Dump'!G209,"")</f>
        <v/>
      </c>
      <c r="I212" s="49" t="str">
        <f>IF('Salesforce Dump'!H209&lt;&gt;"",'Salesforce Dump'!H209,"")</f>
        <v/>
      </c>
      <c r="J212" s="51" t="str">
        <f>IF('Salesforce Dump'!I209&lt;&gt;"",'Salesforce Dump'!I209,"")</f>
        <v/>
      </c>
      <c r="K212" s="51" t="str">
        <f>IF('Salesforce Dump'!J209&lt;&gt;"",'Salesforce Dump'!J209,"")</f>
        <v/>
      </c>
      <c r="L212" s="52" t="str">
        <f>IFERROR(INDEX('OBA Dump'!C:C,MATCH($E212*1,'OBA Dump'!$A:$A,0)),"")</f>
        <v/>
      </c>
      <c r="M212" s="52" t="str">
        <f>IFERROR(INDEX('OBA Dump'!D:D,MATCH($E212*1,'OBA Dump'!$A:$A,0)),"")</f>
        <v/>
      </c>
      <c r="N212" s="52"/>
      <c r="O212" s="52"/>
      <c r="P212" s="53"/>
      <c r="Q212" s="52"/>
      <c r="R212" s="38" t="str">
        <f>_xlfn.IFNA(VLOOKUP(E212,'Pre-Booked Holidays'!A:B,2,0),"")</f>
        <v/>
      </c>
      <c r="S212" s="38" t="str">
        <f>IF(E212="","",IF(IFERROR(VLOOKUP(E212,'Onbase Report'!D:E,2,0),"")&lt;&gt;"","Details in Onbase","No Details"))</f>
        <v/>
      </c>
      <c r="T212" s="38" t="str">
        <f>IF(LEFT('Salesforce Dump'!Q209,5)="BHX10",LEFT('Salesforce Dump'!Q209,5),LEFT('Salesforce Dump'!Q209,4))</f>
        <v/>
      </c>
      <c r="U212" s="38"/>
    </row>
    <row r="213" spans="1:21" ht="14.5" x14ac:dyDescent="0.35">
      <c r="A213" s="47" t="str">
        <f>IF('Salesforce Dump'!A210&lt;&gt;"",'Salesforce Dump'!A210,"")</f>
        <v/>
      </c>
      <c r="B213" s="48"/>
      <c r="C213" s="49" t="str">
        <f>IF('Salesforce Dump'!B210&lt;&gt;"",'Salesforce Dump'!B210,"")</f>
        <v/>
      </c>
      <c r="D213" s="48"/>
      <c r="E213" s="50" t="str">
        <f>IF('Salesforce Dump'!C210&lt;&gt;"",'Salesforce Dump'!C210,"")</f>
        <v/>
      </c>
      <c r="F213" s="49" t="str">
        <f>IF('Salesforce Dump'!D210&lt;&gt;"",'Salesforce Dump'!D210,"")</f>
        <v/>
      </c>
      <c r="G213" s="49" t="str">
        <f>IF('Salesforce Dump'!E210&lt;&gt;"",'Salesforce Dump'!E210,"")</f>
        <v/>
      </c>
      <c r="H213" s="49" t="str">
        <f>IF('Salesforce Dump'!G210&lt;&gt;"",'Salesforce Dump'!G210,"")</f>
        <v/>
      </c>
      <c r="I213" s="49" t="str">
        <f>IF('Salesforce Dump'!H210&lt;&gt;"",'Salesforce Dump'!H210,"")</f>
        <v/>
      </c>
      <c r="J213" s="51" t="str">
        <f>IF('Salesforce Dump'!I210&lt;&gt;"",'Salesforce Dump'!I210,"")</f>
        <v/>
      </c>
      <c r="K213" s="51" t="str">
        <f>IF('Salesforce Dump'!J210&lt;&gt;"",'Salesforce Dump'!J210,"")</f>
        <v/>
      </c>
      <c r="L213" s="52" t="str">
        <f>IFERROR(INDEX('OBA Dump'!C:C,MATCH($E213*1,'OBA Dump'!$A:$A,0)),"")</f>
        <v/>
      </c>
      <c r="M213" s="52" t="str">
        <f>IFERROR(INDEX('OBA Dump'!D:D,MATCH($E213*1,'OBA Dump'!$A:$A,0)),"")</f>
        <v/>
      </c>
      <c r="N213" s="52"/>
      <c r="O213" s="52"/>
      <c r="P213" s="53"/>
      <c r="Q213" s="52"/>
      <c r="R213" s="38" t="str">
        <f>_xlfn.IFNA(VLOOKUP(E213,'Pre-Booked Holidays'!A:B,2,0),"")</f>
        <v/>
      </c>
      <c r="S213" s="38" t="str">
        <f>IF(E213="","",IF(IFERROR(VLOOKUP(E213,'Onbase Report'!D:E,2,0),"")&lt;&gt;"","Details in Onbase","No Details"))</f>
        <v/>
      </c>
      <c r="T213" s="38" t="str">
        <f>IF(LEFT('Salesforce Dump'!Q210,5)="BHX10",LEFT('Salesforce Dump'!Q210,5),LEFT('Salesforce Dump'!Q210,4))</f>
        <v/>
      </c>
      <c r="U213" s="38"/>
    </row>
    <row r="214" spans="1:21" ht="14.5" x14ac:dyDescent="0.35">
      <c r="A214" s="47" t="str">
        <f>IF('Salesforce Dump'!A211&lt;&gt;"",'Salesforce Dump'!A211,"")</f>
        <v/>
      </c>
      <c r="B214" s="48"/>
      <c r="C214" s="49" t="str">
        <f>IF('Salesforce Dump'!B211&lt;&gt;"",'Salesforce Dump'!B211,"")</f>
        <v/>
      </c>
      <c r="D214" s="48"/>
      <c r="E214" s="50" t="str">
        <f>IF('Salesforce Dump'!C211&lt;&gt;"",'Salesforce Dump'!C211,"")</f>
        <v/>
      </c>
      <c r="F214" s="49" t="str">
        <f>IF('Salesforce Dump'!D211&lt;&gt;"",'Salesforce Dump'!D211,"")</f>
        <v/>
      </c>
      <c r="G214" s="49" t="str">
        <f>IF('Salesforce Dump'!E211&lt;&gt;"",'Salesforce Dump'!E211,"")</f>
        <v/>
      </c>
      <c r="H214" s="49" t="str">
        <f>IF('Salesforce Dump'!G211&lt;&gt;"",'Salesforce Dump'!G211,"")</f>
        <v/>
      </c>
      <c r="I214" s="49" t="str">
        <f>IF('Salesforce Dump'!H211&lt;&gt;"",'Salesforce Dump'!H211,"")</f>
        <v/>
      </c>
      <c r="J214" s="51" t="str">
        <f>IF('Salesforce Dump'!I211&lt;&gt;"",'Salesforce Dump'!I211,"")</f>
        <v/>
      </c>
      <c r="K214" s="51" t="str">
        <f>IF('Salesforce Dump'!J211&lt;&gt;"",'Salesforce Dump'!J211,"")</f>
        <v/>
      </c>
      <c r="L214" s="52" t="str">
        <f>IFERROR(INDEX('OBA Dump'!C:C,MATCH($E214*1,'OBA Dump'!$A:$A,0)),"")</f>
        <v/>
      </c>
      <c r="M214" s="52" t="str">
        <f>IFERROR(INDEX('OBA Dump'!D:D,MATCH($E214*1,'OBA Dump'!$A:$A,0)),"")</f>
        <v/>
      </c>
      <c r="N214" s="52"/>
      <c r="O214" s="52"/>
      <c r="P214" s="53"/>
      <c r="Q214" s="52"/>
      <c r="R214" s="38" t="str">
        <f>_xlfn.IFNA(VLOOKUP(E214,'Pre-Booked Holidays'!A:B,2,0),"")</f>
        <v/>
      </c>
      <c r="S214" s="38" t="str">
        <f>IF(E214="","",IF(IFERROR(VLOOKUP(E214,'Onbase Report'!D:E,2,0),"")&lt;&gt;"","Details in Onbase","No Details"))</f>
        <v/>
      </c>
      <c r="T214" s="38" t="str">
        <f>IF(LEFT('Salesforce Dump'!Q211,5)="BHX10",LEFT('Salesforce Dump'!Q211,5),LEFT('Salesforce Dump'!Q211,4))</f>
        <v/>
      </c>
      <c r="U214" s="38"/>
    </row>
    <row r="215" spans="1:21" ht="14.5" x14ac:dyDescent="0.35">
      <c r="A215" s="47" t="str">
        <f>IF('Salesforce Dump'!A212&lt;&gt;"",'Salesforce Dump'!A212,"")</f>
        <v/>
      </c>
      <c r="B215" s="48"/>
      <c r="C215" s="49" t="str">
        <f>IF('Salesforce Dump'!B212&lt;&gt;"",'Salesforce Dump'!B212,"")</f>
        <v/>
      </c>
      <c r="D215" s="48"/>
      <c r="E215" s="50" t="str">
        <f>IF('Salesforce Dump'!C212&lt;&gt;"",'Salesforce Dump'!C212,"")</f>
        <v/>
      </c>
      <c r="F215" s="49" t="str">
        <f>IF('Salesforce Dump'!D212&lt;&gt;"",'Salesforce Dump'!D212,"")</f>
        <v/>
      </c>
      <c r="G215" s="49" t="str">
        <f>IF('Salesforce Dump'!E212&lt;&gt;"",'Salesforce Dump'!E212,"")</f>
        <v/>
      </c>
      <c r="H215" s="49" t="str">
        <f>IF('Salesforce Dump'!G212&lt;&gt;"",'Salesforce Dump'!G212,"")</f>
        <v/>
      </c>
      <c r="I215" s="49" t="str">
        <f>IF('Salesforce Dump'!H212&lt;&gt;"",'Salesforce Dump'!H212,"")</f>
        <v/>
      </c>
      <c r="J215" s="51" t="str">
        <f>IF('Salesforce Dump'!I212&lt;&gt;"",'Salesforce Dump'!I212,"")</f>
        <v/>
      </c>
      <c r="K215" s="51" t="str">
        <f>IF('Salesforce Dump'!J212&lt;&gt;"",'Salesforce Dump'!J212,"")</f>
        <v/>
      </c>
      <c r="L215" s="52" t="str">
        <f>IFERROR(INDEX('OBA Dump'!C:C,MATCH($E215*1,'OBA Dump'!$A:$A,0)),"")</f>
        <v/>
      </c>
      <c r="M215" s="52" t="str">
        <f>IFERROR(INDEX('OBA Dump'!D:D,MATCH($E215*1,'OBA Dump'!$A:$A,0)),"")</f>
        <v/>
      </c>
      <c r="N215" s="52"/>
      <c r="O215" s="52"/>
      <c r="P215" s="53"/>
      <c r="Q215" s="52"/>
      <c r="R215" s="38" t="str">
        <f>_xlfn.IFNA(VLOOKUP(E215,'Pre-Booked Holidays'!A:B,2,0),"")</f>
        <v/>
      </c>
      <c r="S215" s="38" t="str">
        <f>IF(E215="","",IF(IFERROR(VLOOKUP(E215,'Onbase Report'!D:E,2,0),"")&lt;&gt;"","Details in Onbase","No Details"))</f>
        <v/>
      </c>
      <c r="T215" s="38" t="str">
        <f>IF(LEFT('Salesforce Dump'!Q212,5)="BHX10",LEFT('Salesforce Dump'!Q212,5),LEFT('Salesforce Dump'!Q212,4))</f>
        <v/>
      </c>
      <c r="U215" s="38"/>
    </row>
    <row r="216" spans="1:21" ht="14.5" x14ac:dyDescent="0.35">
      <c r="A216" s="47" t="str">
        <f>IF('Salesforce Dump'!A213&lt;&gt;"",'Salesforce Dump'!A213,"")</f>
        <v/>
      </c>
      <c r="B216" s="48"/>
      <c r="C216" s="49" t="str">
        <f>IF('Salesforce Dump'!B213&lt;&gt;"",'Salesforce Dump'!B213,"")</f>
        <v/>
      </c>
      <c r="D216" s="48"/>
      <c r="E216" s="50" t="str">
        <f>IF('Salesforce Dump'!C213&lt;&gt;"",'Salesforce Dump'!C213,"")</f>
        <v/>
      </c>
      <c r="F216" s="49" t="str">
        <f>IF('Salesforce Dump'!D213&lt;&gt;"",'Salesforce Dump'!D213,"")</f>
        <v/>
      </c>
      <c r="G216" s="49" t="str">
        <f>IF('Salesforce Dump'!E213&lt;&gt;"",'Salesforce Dump'!E213,"")</f>
        <v/>
      </c>
      <c r="H216" s="49" t="str">
        <f>IF('Salesforce Dump'!G213&lt;&gt;"",'Salesforce Dump'!G213,"")</f>
        <v/>
      </c>
      <c r="I216" s="49" t="str">
        <f>IF('Salesforce Dump'!H213&lt;&gt;"",'Salesforce Dump'!H213,"")</f>
        <v/>
      </c>
      <c r="J216" s="51" t="str">
        <f>IF('Salesforce Dump'!I213&lt;&gt;"",'Salesforce Dump'!I213,"")</f>
        <v/>
      </c>
      <c r="K216" s="51" t="str">
        <f>IF('Salesforce Dump'!J213&lt;&gt;"",'Salesforce Dump'!J213,"")</f>
        <v/>
      </c>
      <c r="L216" s="52" t="str">
        <f>IFERROR(INDEX('OBA Dump'!C:C,MATCH($E216*1,'OBA Dump'!$A:$A,0)),"")</f>
        <v/>
      </c>
      <c r="M216" s="52" t="str">
        <f>IFERROR(INDEX('OBA Dump'!D:D,MATCH($E216*1,'OBA Dump'!$A:$A,0)),"")</f>
        <v/>
      </c>
      <c r="N216" s="52"/>
      <c r="O216" s="52"/>
      <c r="P216" s="53"/>
      <c r="Q216" s="52"/>
      <c r="R216" s="38" t="str">
        <f>_xlfn.IFNA(VLOOKUP(E216,'Pre-Booked Holidays'!A:B,2,0),"")</f>
        <v/>
      </c>
      <c r="S216" s="38" t="str">
        <f>IF(E216="","",IF(IFERROR(VLOOKUP(E216,'Onbase Report'!D:E,2,0),"")&lt;&gt;"","Details in Onbase","No Details"))</f>
        <v/>
      </c>
      <c r="T216" s="38" t="str">
        <f>IF(LEFT('Salesforce Dump'!Q213,5)="BHX10",LEFT('Salesforce Dump'!Q213,5),LEFT('Salesforce Dump'!Q213,4))</f>
        <v/>
      </c>
      <c r="U216" s="38"/>
    </row>
    <row r="217" spans="1:21" ht="14.5" x14ac:dyDescent="0.35">
      <c r="A217" s="47" t="str">
        <f>IF('Salesforce Dump'!A214&lt;&gt;"",'Salesforce Dump'!A214,"")</f>
        <v/>
      </c>
      <c r="B217" s="48"/>
      <c r="C217" s="49" t="str">
        <f>IF('Salesforce Dump'!B214&lt;&gt;"",'Salesforce Dump'!B214,"")</f>
        <v/>
      </c>
      <c r="D217" s="48"/>
      <c r="E217" s="50" t="str">
        <f>IF('Salesforce Dump'!C214&lt;&gt;"",'Salesforce Dump'!C214,"")</f>
        <v/>
      </c>
      <c r="F217" s="49" t="str">
        <f>IF('Salesforce Dump'!D214&lt;&gt;"",'Salesforce Dump'!D214,"")</f>
        <v/>
      </c>
      <c r="G217" s="49" t="str">
        <f>IF('Salesforce Dump'!E214&lt;&gt;"",'Salesforce Dump'!E214,"")</f>
        <v/>
      </c>
      <c r="H217" s="49" t="str">
        <f>IF('Salesforce Dump'!G214&lt;&gt;"",'Salesforce Dump'!G214,"")</f>
        <v/>
      </c>
      <c r="I217" s="49" t="str">
        <f>IF('Salesforce Dump'!H214&lt;&gt;"",'Salesforce Dump'!H214,"")</f>
        <v/>
      </c>
      <c r="J217" s="51" t="str">
        <f>IF('Salesforce Dump'!I214&lt;&gt;"",'Salesforce Dump'!I214,"")</f>
        <v/>
      </c>
      <c r="K217" s="51" t="str">
        <f>IF('Salesforce Dump'!J214&lt;&gt;"",'Salesforce Dump'!J214,"")</f>
        <v/>
      </c>
      <c r="L217" s="52" t="str">
        <f>IFERROR(INDEX('OBA Dump'!C:C,MATCH($E217*1,'OBA Dump'!$A:$A,0)),"")</f>
        <v/>
      </c>
      <c r="M217" s="52" t="str">
        <f>IFERROR(INDEX('OBA Dump'!D:D,MATCH($E217*1,'OBA Dump'!$A:$A,0)),"")</f>
        <v/>
      </c>
      <c r="N217" s="52"/>
      <c r="O217" s="52"/>
      <c r="P217" s="53"/>
      <c r="Q217" s="52"/>
      <c r="R217" s="38" t="str">
        <f>_xlfn.IFNA(VLOOKUP(E217,'Pre-Booked Holidays'!A:B,2,0),"")</f>
        <v/>
      </c>
      <c r="S217" s="38" t="str">
        <f>IF(E217="","",IF(IFERROR(VLOOKUP(E217,'Onbase Report'!D:E,2,0),"")&lt;&gt;"","Details in Onbase","No Details"))</f>
        <v/>
      </c>
      <c r="T217" s="38" t="str">
        <f>IF(LEFT('Salesforce Dump'!Q214,5)="BHX10",LEFT('Salesforce Dump'!Q214,5),LEFT('Salesforce Dump'!Q214,4))</f>
        <v/>
      </c>
      <c r="U217" s="38"/>
    </row>
    <row r="218" spans="1:21" ht="14.5" x14ac:dyDescent="0.35">
      <c r="A218" s="47" t="str">
        <f>IF('Salesforce Dump'!A215&lt;&gt;"",'Salesforce Dump'!A215,"")</f>
        <v/>
      </c>
      <c r="B218" s="48"/>
      <c r="C218" s="49" t="str">
        <f>IF('Salesforce Dump'!B215&lt;&gt;"",'Salesforce Dump'!B215,"")</f>
        <v/>
      </c>
      <c r="D218" s="48"/>
      <c r="E218" s="50" t="str">
        <f>IF('Salesforce Dump'!C215&lt;&gt;"",'Salesforce Dump'!C215,"")</f>
        <v/>
      </c>
      <c r="F218" s="49" t="str">
        <f>IF('Salesforce Dump'!D215&lt;&gt;"",'Salesforce Dump'!D215,"")</f>
        <v/>
      </c>
      <c r="G218" s="49" t="str">
        <f>IF('Salesforce Dump'!E215&lt;&gt;"",'Salesforce Dump'!E215,"")</f>
        <v/>
      </c>
      <c r="H218" s="49" t="str">
        <f>IF('Salesforce Dump'!G215&lt;&gt;"",'Salesforce Dump'!G215,"")</f>
        <v/>
      </c>
      <c r="I218" s="49" t="str">
        <f>IF('Salesforce Dump'!H215&lt;&gt;"",'Salesforce Dump'!H215,"")</f>
        <v/>
      </c>
      <c r="J218" s="51" t="str">
        <f>IF('Salesforce Dump'!I215&lt;&gt;"",'Salesforce Dump'!I215,"")</f>
        <v/>
      </c>
      <c r="K218" s="51" t="str">
        <f>IF('Salesforce Dump'!J215&lt;&gt;"",'Salesforce Dump'!J215,"")</f>
        <v/>
      </c>
      <c r="L218" s="52" t="str">
        <f>IFERROR(INDEX('OBA Dump'!C:C,MATCH($E218*1,'OBA Dump'!$A:$A,0)),"")</f>
        <v/>
      </c>
      <c r="M218" s="52" t="str">
        <f>IFERROR(INDEX('OBA Dump'!D:D,MATCH($E218*1,'OBA Dump'!$A:$A,0)),"")</f>
        <v/>
      </c>
      <c r="N218" s="52"/>
      <c r="O218" s="52"/>
      <c r="P218" s="53"/>
      <c r="Q218" s="52"/>
      <c r="R218" s="38" t="str">
        <f>_xlfn.IFNA(VLOOKUP(E218,'Pre-Booked Holidays'!A:B,2,0),"")</f>
        <v/>
      </c>
      <c r="S218" s="38" t="str">
        <f>IF(E218="","",IF(IFERROR(VLOOKUP(E218,'Onbase Report'!D:E,2,0),"")&lt;&gt;"","Details in Onbase","No Details"))</f>
        <v/>
      </c>
      <c r="T218" s="38" t="str">
        <f>IF(LEFT('Salesforce Dump'!Q215,5)="BHX10",LEFT('Salesforce Dump'!Q215,5),LEFT('Salesforce Dump'!Q215,4))</f>
        <v/>
      </c>
      <c r="U218" s="38"/>
    </row>
    <row r="219" spans="1:21" ht="14.5" x14ac:dyDescent="0.35">
      <c r="A219" s="47" t="str">
        <f>IF('Salesforce Dump'!A216&lt;&gt;"",'Salesforce Dump'!A216,"")</f>
        <v/>
      </c>
      <c r="B219" s="48"/>
      <c r="C219" s="49" t="str">
        <f>IF('Salesforce Dump'!B216&lt;&gt;"",'Salesforce Dump'!B216,"")</f>
        <v/>
      </c>
      <c r="D219" s="48"/>
      <c r="E219" s="50" t="str">
        <f>IF('Salesforce Dump'!C216&lt;&gt;"",'Salesforce Dump'!C216,"")</f>
        <v/>
      </c>
      <c r="F219" s="49" t="str">
        <f>IF('Salesforce Dump'!D216&lt;&gt;"",'Salesforce Dump'!D216,"")</f>
        <v/>
      </c>
      <c r="G219" s="49" t="str">
        <f>IF('Salesforce Dump'!E216&lt;&gt;"",'Salesforce Dump'!E216,"")</f>
        <v/>
      </c>
      <c r="H219" s="49" t="str">
        <f>IF('Salesforce Dump'!G216&lt;&gt;"",'Salesforce Dump'!G216,"")</f>
        <v/>
      </c>
      <c r="I219" s="49" t="str">
        <f>IF('Salesforce Dump'!H216&lt;&gt;"",'Salesforce Dump'!H216,"")</f>
        <v/>
      </c>
      <c r="J219" s="51" t="str">
        <f>IF('Salesforce Dump'!I216&lt;&gt;"",'Salesforce Dump'!I216,"")</f>
        <v/>
      </c>
      <c r="K219" s="51" t="str">
        <f>IF('Salesforce Dump'!J216&lt;&gt;"",'Salesforce Dump'!J216,"")</f>
        <v/>
      </c>
      <c r="L219" s="52" t="str">
        <f>IFERROR(INDEX('OBA Dump'!C:C,MATCH($E219*1,'OBA Dump'!$A:$A,0)),"")</f>
        <v/>
      </c>
      <c r="M219" s="52" t="str">
        <f>IFERROR(INDEX('OBA Dump'!D:D,MATCH($E219*1,'OBA Dump'!$A:$A,0)),"")</f>
        <v/>
      </c>
      <c r="N219" s="52"/>
      <c r="O219" s="52"/>
      <c r="P219" s="53"/>
      <c r="Q219" s="52"/>
      <c r="R219" s="38" t="str">
        <f>_xlfn.IFNA(VLOOKUP(E219,'Pre-Booked Holidays'!A:B,2,0),"")</f>
        <v/>
      </c>
      <c r="S219" s="38" t="str">
        <f>IF(E219="","",IF(IFERROR(VLOOKUP(E219,'Onbase Report'!D:E,2,0),"")&lt;&gt;"","Details in Onbase","No Details"))</f>
        <v/>
      </c>
      <c r="T219" s="38" t="str">
        <f>IF(LEFT('Salesforce Dump'!Q216,5)="BHX10",LEFT('Salesforce Dump'!Q216,5),LEFT('Salesforce Dump'!Q216,4))</f>
        <v/>
      </c>
      <c r="U219" s="38"/>
    </row>
    <row r="220" spans="1:21" ht="14.5" x14ac:dyDescent="0.35">
      <c r="A220" s="47" t="str">
        <f>IF('Salesforce Dump'!A217&lt;&gt;"",'Salesforce Dump'!A217,"")</f>
        <v/>
      </c>
      <c r="B220" s="48"/>
      <c r="C220" s="49" t="str">
        <f>IF('Salesforce Dump'!B217&lt;&gt;"",'Salesforce Dump'!B217,"")</f>
        <v/>
      </c>
      <c r="D220" s="48"/>
      <c r="E220" s="50" t="str">
        <f>IF('Salesforce Dump'!C217&lt;&gt;"",'Salesforce Dump'!C217,"")</f>
        <v/>
      </c>
      <c r="F220" s="49" t="str">
        <f>IF('Salesforce Dump'!D217&lt;&gt;"",'Salesforce Dump'!D217,"")</f>
        <v/>
      </c>
      <c r="G220" s="49" t="str">
        <f>IF('Salesforce Dump'!E217&lt;&gt;"",'Salesforce Dump'!E217,"")</f>
        <v/>
      </c>
      <c r="H220" s="49" t="str">
        <f>IF('Salesforce Dump'!G217&lt;&gt;"",'Salesforce Dump'!G217,"")</f>
        <v/>
      </c>
      <c r="I220" s="49" t="str">
        <f>IF('Salesforce Dump'!H217&lt;&gt;"",'Salesforce Dump'!H217,"")</f>
        <v/>
      </c>
      <c r="J220" s="51" t="str">
        <f>IF('Salesforce Dump'!I217&lt;&gt;"",'Salesforce Dump'!I217,"")</f>
        <v/>
      </c>
      <c r="K220" s="51" t="str">
        <f>IF('Salesforce Dump'!J217&lt;&gt;"",'Salesforce Dump'!J217,"")</f>
        <v/>
      </c>
      <c r="L220" s="52" t="str">
        <f>IFERROR(INDEX('OBA Dump'!C:C,MATCH($E220*1,'OBA Dump'!$A:$A,0)),"")</f>
        <v/>
      </c>
      <c r="M220" s="52" t="str">
        <f>IFERROR(INDEX('OBA Dump'!D:D,MATCH($E220*1,'OBA Dump'!$A:$A,0)),"")</f>
        <v/>
      </c>
      <c r="N220" s="52"/>
      <c r="O220" s="52"/>
      <c r="P220" s="53"/>
      <c r="Q220" s="52"/>
      <c r="R220" s="38" t="str">
        <f>_xlfn.IFNA(VLOOKUP(E220,'Pre-Booked Holidays'!A:B,2,0),"")</f>
        <v/>
      </c>
      <c r="S220" s="38" t="str">
        <f>IF(E220="","",IF(IFERROR(VLOOKUP(E220,'Onbase Report'!D:E,2,0),"")&lt;&gt;"","Details in Onbase","No Details"))</f>
        <v/>
      </c>
      <c r="T220" s="38" t="str">
        <f>IF(LEFT('Salesforce Dump'!Q217,5)="BHX10",LEFT('Salesforce Dump'!Q217,5),LEFT('Salesforce Dump'!Q217,4))</f>
        <v/>
      </c>
      <c r="U220" s="38"/>
    </row>
    <row r="221" spans="1:21" ht="14.5" x14ac:dyDescent="0.35">
      <c r="A221" s="47" t="str">
        <f>IF('Salesforce Dump'!A218&lt;&gt;"",'Salesforce Dump'!A218,"")</f>
        <v/>
      </c>
      <c r="B221" s="48"/>
      <c r="C221" s="49" t="str">
        <f>IF('Salesforce Dump'!B218&lt;&gt;"",'Salesforce Dump'!B218,"")</f>
        <v/>
      </c>
      <c r="D221" s="48"/>
      <c r="E221" s="50" t="str">
        <f>IF('Salesforce Dump'!C218&lt;&gt;"",'Salesforce Dump'!C218,"")</f>
        <v/>
      </c>
      <c r="F221" s="49" t="str">
        <f>IF('Salesforce Dump'!D218&lt;&gt;"",'Salesforce Dump'!D218,"")</f>
        <v/>
      </c>
      <c r="G221" s="49" t="str">
        <f>IF('Salesforce Dump'!E218&lt;&gt;"",'Salesforce Dump'!E218,"")</f>
        <v/>
      </c>
      <c r="H221" s="49" t="str">
        <f>IF('Salesforce Dump'!G218&lt;&gt;"",'Salesforce Dump'!G218,"")</f>
        <v/>
      </c>
      <c r="I221" s="49" t="str">
        <f>IF('Salesforce Dump'!H218&lt;&gt;"",'Salesforce Dump'!H218,"")</f>
        <v/>
      </c>
      <c r="J221" s="51" t="str">
        <f>IF('Salesforce Dump'!I218&lt;&gt;"",'Salesforce Dump'!I218,"")</f>
        <v/>
      </c>
      <c r="K221" s="51" t="str">
        <f>IF('Salesforce Dump'!J218&lt;&gt;"",'Salesforce Dump'!J218,"")</f>
        <v/>
      </c>
      <c r="L221" s="52" t="str">
        <f>IFERROR(INDEX('OBA Dump'!C:C,MATCH($E221*1,'OBA Dump'!$A:$A,0)),"")</f>
        <v/>
      </c>
      <c r="M221" s="52" t="str">
        <f>IFERROR(INDEX('OBA Dump'!D:D,MATCH($E221*1,'OBA Dump'!$A:$A,0)),"")</f>
        <v/>
      </c>
      <c r="N221" s="52"/>
      <c r="O221" s="52"/>
      <c r="P221" s="53"/>
      <c r="Q221" s="52"/>
      <c r="R221" s="38" t="str">
        <f>_xlfn.IFNA(VLOOKUP(E221,'Pre-Booked Holidays'!A:B,2,0),"")</f>
        <v/>
      </c>
      <c r="S221" s="38" t="str">
        <f>IF(E221="","",IF(IFERROR(VLOOKUP(E221,'Onbase Report'!D:E,2,0),"")&lt;&gt;"","Details in Onbase","No Details"))</f>
        <v/>
      </c>
      <c r="T221" s="38" t="str">
        <f>IF(LEFT('Salesforce Dump'!Q218,5)="BHX10",LEFT('Salesforce Dump'!Q218,5),LEFT('Salesforce Dump'!Q218,4))</f>
        <v/>
      </c>
      <c r="U221" s="38"/>
    </row>
    <row r="222" spans="1:21" ht="14.5" x14ac:dyDescent="0.35">
      <c r="A222" s="47" t="str">
        <f>IF('Salesforce Dump'!A219&lt;&gt;"",'Salesforce Dump'!A219,"")</f>
        <v/>
      </c>
      <c r="B222" s="48"/>
      <c r="C222" s="49" t="str">
        <f>IF('Salesforce Dump'!B219&lt;&gt;"",'Salesforce Dump'!B219,"")</f>
        <v/>
      </c>
      <c r="D222" s="48"/>
      <c r="E222" s="50" t="str">
        <f>IF('Salesforce Dump'!C219&lt;&gt;"",'Salesforce Dump'!C219,"")</f>
        <v/>
      </c>
      <c r="F222" s="49" t="str">
        <f>IF('Salesforce Dump'!D219&lt;&gt;"",'Salesforce Dump'!D219,"")</f>
        <v/>
      </c>
      <c r="G222" s="49" t="str">
        <f>IF('Salesforce Dump'!E219&lt;&gt;"",'Salesforce Dump'!E219,"")</f>
        <v/>
      </c>
      <c r="H222" s="49" t="str">
        <f>IF('Salesforce Dump'!G219&lt;&gt;"",'Salesforce Dump'!G219,"")</f>
        <v/>
      </c>
      <c r="I222" s="49" t="str">
        <f>IF('Salesforce Dump'!H219&lt;&gt;"",'Salesforce Dump'!H219,"")</f>
        <v/>
      </c>
      <c r="J222" s="51" t="str">
        <f>IF('Salesforce Dump'!I219&lt;&gt;"",'Salesforce Dump'!I219,"")</f>
        <v/>
      </c>
      <c r="K222" s="51" t="str">
        <f>IF('Salesforce Dump'!J219&lt;&gt;"",'Salesforce Dump'!J219,"")</f>
        <v/>
      </c>
      <c r="L222" s="52" t="str">
        <f>IFERROR(INDEX('OBA Dump'!C:C,MATCH($E222*1,'OBA Dump'!$A:$A,0)),"")</f>
        <v/>
      </c>
      <c r="M222" s="52" t="str">
        <f>IFERROR(INDEX('OBA Dump'!D:D,MATCH($E222*1,'OBA Dump'!$A:$A,0)),"")</f>
        <v/>
      </c>
      <c r="N222" s="52"/>
      <c r="O222" s="52"/>
      <c r="P222" s="53"/>
      <c r="Q222" s="52"/>
      <c r="R222" s="38" t="str">
        <f>_xlfn.IFNA(VLOOKUP(E222,'Pre-Booked Holidays'!A:B,2,0),"")</f>
        <v/>
      </c>
      <c r="S222" s="38" t="str">
        <f>IF(E222="","",IF(IFERROR(VLOOKUP(E222,'Onbase Report'!D:E,2,0),"")&lt;&gt;"","Details in Onbase","No Details"))</f>
        <v/>
      </c>
      <c r="T222" s="38" t="str">
        <f>IF(LEFT('Salesforce Dump'!Q219,5)="BHX10",LEFT('Salesforce Dump'!Q219,5),LEFT('Salesforce Dump'!Q219,4))</f>
        <v/>
      </c>
      <c r="U222" s="38"/>
    </row>
    <row r="223" spans="1:21" ht="14.5" x14ac:dyDescent="0.35">
      <c r="A223" s="47" t="str">
        <f>IF('Salesforce Dump'!A220&lt;&gt;"",'Salesforce Dump'!A220,"")</f>
        <v/>
      </c>
      <c r="B223" s="48"/>
      <c r="C223" s="49" t="str">
        <f>IF('Salesforce Dump'!B220&lt;&gt;"",'Salesforce Dump'!B220,"")</f>
        <v/>
      </c>
      <c r="D223" s="48"/>
      <c r="E223" s="50" t="str">
        <f>IF('Salesforce Dump'!C220&lt;&gt;"",'Salesforce Dump'!C220,"")</f>
        <v/>
      </c>
      <c r="F223" s="49" t="str">
        <f>IF('Salesforce Dump'!D220&lt;&gt;"",'Salesforce Dump'!D220,"")</f>
        <v/>
      </c>
      <c r="G223" s="49" t="str">
        <f>IF('Salesforce Dump'!E220&lt;&gt;"",'Salesforce Dump'!E220,"")</f>
        <v/>
      </c>
      <c r="H223" s="49" t="str">
        <f>IF('Salesforce Dump'!G220&lt;&gt;"",'Salesforce Dump'!G220,"")</f>
        <v/>
      </c>
      <c r="I223" s="49" t="str">
        <f>IF('Salesforce Dump'!H220&lt;&gt;"",'Salesforce Dump'!H220,"")</f>
        <v/>
      </c>
      <c r="J223" s="51" t="str">
        <f>IF('Salesforce Dump'!I220&lt;&gt;"",'Salesforce Dump'!I220,"")</f>
        <v/>
      </c>
      <c r="K223" s="51" t="str">
        <f>IF('Salesforce Dump'!J220&lt;&gt;"",'Salesforce Dump'!J220,"")</f>
        <v/>
      </c>
      <c r="L223" s="52" t="str">
        <f>IFERROR(INDEX('OBA Dump'!C:C,MATCH($E223*1,'OBA Dump'!$A:$A,0)),"")</f>
        <v/>
      </c>
      <c r="M223" s="52" t="str">
        <f>IFERROR(INDEX('OBA Dump'!D:D,MATCH($E223*1,'OBA Dump'!$A:$A,0)),"")</f>
        <v/>
      </c>
      <c r="N223" s="52"/>
      <c r="O223" s="52"/>
      <c r="P223" s="53"/>
      <c r="Q223" s="52"/>
      <c r="R223" s="38" t="str">
        <f>_xlfn.IFNA(VLOOKUP(E223,'Pre-Booked Holidays'!A:B,2,0),"")</f>
        <v/>
      </c>
      <c r="S223" s="38" t="str">
        <f>IF(E223="","",IF(IFERROR(VLOOKUP(E223,'Onbase Report'!D:E,2,0),"")&lt;&gt;"","Details in Onbase","No Details"))</f>
        <v/>
      </c>
      <c r="T223" s="38" t="str">
        <f>IF(LEFT('Salesforce Dump'!Q220,5)="BHX10",LEFT('Salesforce Dump'!Q220,5),LEFT('Salesforce Dump'!Q220,4))</f>
        <v/>
      </c>
      <c r="U223" s="38"/>
    </row>
    <row r="224" spans="1:21" ht="14.5" x14ac:dyDescent="0.35">
      <c r="A224" s="47" t="str">
        <f>IF('Salesforce Dump'!A221&lt;&gt;"",'Salesforce Dump'!A221,"")</f>
        <v/>
      </c>
      <c r="B224" s="48"/>
      <c r="C224" s="49" t="str">
        <f>IF('Salesforce Dump'!B221&lt;&gt;"",'Salesforce Dump'!B221,"")</f>
        <v/>
      </c>
      <c r="D224" s="48"/>
      <c r="E224" s="50" t="str">
        <f>IF('Salesforce Dump'!C221&lt;&gt;"",'Salesforce Dump'!C221,"")</f>
        <v/>
      </c>
      <c r="F224" s="49" t="str">
        <f>IF('Salesforce Dump'!D221&lt;&gt;"",'Salesforce Dump'!D221,"")</f>
        <v/>
      </c>
      <c r="G224" s="49" t="str">
        <f>IF('Salesforce Dump'!E221&lt;&gt;"",'Salesforce Dump'!E221,"")</f>
        <v/>
      </c>
      <c r="H224" s="49" t="str">
        <f>IF('Salesforce Dump'!G221&lt;&gt;"",'Salesforce Dump'!G221,"")</f>
        <v/>
      </c>
      <c r="I224" s="49" t="str">
        <f>IF('Salesforce Dump'!H221&lt;&gt;"",'Salesforce Dump'!H221,"")</f>
        <v/>
      </c>
      <c r="J224" s="51" t="str">
        <f>IF('Salesforce Dump'!I221&lt;&gt;"",'Salesforce Dump'!I221,"")</f>
        <v/>
      </c>
      <c r="K224" s="51" t="str">
        <f>IF('Salesforce Dump'!J221&lt;&gt;"",'Salesforce Dump'!J221,"")</f>
        <v/>
      </c>
      <c r="L224" s="52" t="str">
        <f>IFERROR(INDEX('OBA Dump'!C:C,MATCH($E224*1,'OBA Dump'!$A:$A,0)),"")</f>
        <v/>
      </c>
      <c r="M224" s="52" t="str">
        <f>IFERROR(INDEX('OBA Dump'!D:D,MATCH($E224*1,'OBA Dump'!$A:$A,0)),"")</f>
        <v/>
      </c>
      <c r="N224" s="52"/>
      <c r="O224" s="52"/>
      <c r="P224" s="53"/>
      <c r="Q224" s="52"/>
      <c r="R224" s="38" t="str">
        <f>_xlfn.IFNA(VLOOKUP(E224,'Pre-Booked Holidays'!A:B,2,0),"")</f>
        <v/>
      </c>
      <c r="S224" s="38" t="str">
        <f>IF(E224="","",IF(IFERROR(VLOOKUP(E224,'Onbase Report'!D:E,2,0),"")&lt;&gt;"","Details in Onbase","No Details"))</f>
        <v/>
      </c>
      <c r="T224" s="38" t="str">
        <f>IF(LEFT('Salesforce Dump'!Q221,5)="BHX10",LEFT('Salesforce Dump'!Q221,5),LEFT('Salesforce Dump'!Q221,4))</f>
        <v/>
      </c>
      <c r="U224" s="38"/>
    </row>
    <row r="225" spans="1:21" ht="14.5" x14ac:dyDescent="0.35">
      <c r="A225" s="47" t="str">
        <f>IF('Salesforce Dump'!A222&lt;&gt;"",'Salesforce Dump'!A222,"")</f>
        <v/>
      </c>
      <c r="B225" s="48"/>
      <c r="C225" s="49" t="str">
        <f>IF('Salesforce Dump'!B222&lt;&gt;"",'Salesforce Dump'!B222,"")</f>
        <v/>
      </c>
      <c r="D225" s="48"/>
      <c r="E225" s="50" t="str">
        <f>IF('Salesforce Dump'!C222&lt;&gt;"",'Salesforce Dump'!C222,"")</f>
        <v/>
      </c>
      <c r="F225" s="49" t="str">
        <f>IF('Salesforce Dump'!D222&lt;&gt;"",'Salesforce Dump'!D222,"")</f>
        <v/>
      </c>
      <c r="G225" s="49" t="str">
        <f>IF('Salesforce Dump'!E222&lt;&gt;"",'Salesforce Dump'!E222,"")</f>
        <v/>
      </c>
      <c r="H225" s="49" t="str">
        <f>IF('Salesforce Dump'!G222&lt;&gt;"",'Salesforce Dump'!G222,"")</f>
        <v/>
      </c>
      <c r="I225" s="49" t="str">
        <f>IF('Salesforce Dump'!H222&lt;&gt;"",'Salesforce Dump'!H222,"")</f>
        <v/>
      </c>
      <c r="J225" s="51" t="str">
        <f>IF('Salesforce Dump'!I222&lt;&gt;"",'Salesforce Dump'!I222,"")</f>
        <v/>
      </c>
      <c r="K225" s="51" t="str">
        <f>IF('Salesforce Dump'!J222&lt;&gt;"",'Salesforce Dump'!J222,"")</f>
        <v/>
      </c>
      <c r="L225" s="52" t="str">
        <f>IFERROR(INDEX('OBA Dump'!C:C,MATCH($E225*1,'OBA Dump'!$A:$A,0)),"")</f>
        <v/>
      </c>
      <c r="M225" s="52" t="str">
        <f>IFERROR(INDEX('OBA Dump'!D:D,MATCH($E225*1,'OBA Dump'!$A:$A,0)),"")</f>
        <v/>
      </c>
      <c r="N225" s="52"/>
      <c r="O225" s="52"/>
      <c r="P225" s="53"/>
      <c r="Q225" s="52"/>
      <c r="R225" s="38" t="str">
        <f>_xlfn.IFNA(VLOOKUP(E225,'Pre-Booked Holidays'!A:B,2,0),"")</f>
        <v/>
      </c>
      <c r="S225" s="38" t="str">
        <f>IF(E225="","",IF(IFERROR(VLOOKUP(E225,'Onbase Report'!D:E,2,0),"")&lt;&gt;"","Details in Onbase","No Details"))</f>
        <v/>
      </c>
      <c r="T225" s="38" t="str">
        <f>IF(LEFT('Salesforce Dump'!Q222,5)="BHX10",LEFT('Salesforce Dump'!Q222,5),LEFT('Salesforce Dump'!Q222,4))</f>
        <v/>
      </c>
      <c r="U225" s="38"/>
    </row>
    <row r="226" spans="1:21" ht="14.5" x14ac:dyDescent="0.35">
      <c r="A226" s="47" t="str">
        <f>IF('Salesforce Dump'!A223&lt;&gt;"",'Salesforce Dump'!A223,"")</f>
        <v/>
      </c>
      <c r="B226" s="48"/>
      <c r="C226" s="49" t="str">
        <f>IF('Salesforce Dump'!B223&lt;&gt;"",'Salesforce Dump'!B223,"")</f>
        <v/>
      </c>
      <c r="D226" s="48"/>
      <c r="E226" s="50" t="str">
        <f>IF('Salesforce Dump'!C223&lt;&gt;"",'Salesforce Dump'!C223,"")</f>
        <v/>
      </c>
      <c r="F226" s="49" t="str">
        <f>IF('Salesforce Dump'!D223&lt;&gt;"",'Salesforce Dump'!D223,"")</f>
        <v/>
      </c>
      <c r="G226" s="49" t="str">
        <f>IF('Salesforce Dump'!E223&lt;&gt;"",'Salesforce Dump'!E223,"")</f>
        <v/>
      </c>
      <c r="H226" s="49" t="str">
        <f>IF('Salesforce Dump'!G223&lt;&gt;"",'Salesforce Dump'!G223,"")</f>
        <v/>
      </c>
      <c r="I226" s="49" t="str">
        <f>IF('Salesforce Dump'!H223&lt;&gt;"",'Salesforce Dump'!H223,"")</f>
        <v/>
      </c>
      <c r="J226" s="51" t="str">
        <f>IF('Salesforce Dump'!I223&lt;&gt;"",'Salesforce Dump'!I223,"")</f>
        <v/>
      </c>
      <c r="K226" s="51" t="str">
        <f>IF('Salesforce Dump'!J223&lt;&gt;"",'Salesforce Dump'!J223,"")</f>
        <v/>
      </c>
      <c r="L226" s="52" t="str">
        <f>IFERROR(INDEX('OBA Dump'!C:C,MATCH($E226*1,'OBA Dump'!$A:$A,0)),"")</f>
        <v/>
      </c>
      <c r="M226" s="52" t="str">
        <f>IFERROR(INDEX('OBA Dump'!D:D,MATCH($E226*1,'OBA Dump'!$A:$A,0)),"")</f>
        <v/>
      </c>
      <c r="N226" s="52"/>
      <c r="O226" s="52"/>
      <c r="P226" s="53"/>
      <c r="Q226" s="52"/>
      <c r="R226" s="38" t="str">
        <f>_xlfn.IFNA(VLOOKUP(E226,'Pre-Booked Holidays'!A:B,2,0),"")</f>
        <v/>
      </c>
      <c r="S226" s="38" t="str">
        <f>IF(E226="","",IF(IFERROR(VLOOKUP(E226,'Onbase Report'!D:E,2,0),"")&lt;&gt;"","Details in Onbase","No Details"))</f>
        <v/>
      </c>
      <c r="T226" s="38" t="str">
        <f>IF(LEFT('Salesforce Dump'!Q223,5)="BHX10",LEFT('Salesforce Dump'!Q223,5),LEFT('Salesforce Dump'!Q223,4))</f>
        <v/>
      </c>
      <c r="U226" s="38"/>
    </row>
    <row r="227" spans="1:21" ht="14.5" x14ac:dyDescent="0.35">
      <c r="A227" s="47" t="str">
        <f>IF('Salesforce Dump'!A224&lt;&gt;"",'Salesforce Dump'!A224,"")</f>
        <v/>
      </c>
      <c r="B227" s="48"/>
      <c r="C227" s="49" t="str">
        <f>IF('Salesforce Dump'!B224&lt;&gt;"",'Salesforce Dump'!B224,"")</f>
        <v/>
      </c>
      <c r="D227" s="48"/>
      <c r="E227" s="50" t="str">
        <f>IF('Salesforce Dump'!C224&lt;&gt;"",'Salesforce Dump'!C224,"")</f>
        <v/>
      </c>
      <c r="F227" s="49" t="str">
        <f>IF('Salesforce Dump'!D224&lt;&gt;"",'Salesforce Dump'!D224,"")</f>
        <v/>
      </c>
      <c r="G227" s="49" t="str">
        <f>IF('Salesforce Dump'!E224&lt;&gt;"",'Salesforce Dump'!E224,"")</f>
        <v/>
      </c>
      <c r="H227" s="49" t="str">
        <f>IF('Salesforce Dump'!G224&lt;&gt;"",'Salesforce Dump'!G224,"")</f>
        <v/>
      </c>
      <c r="I227" s="49" t="str">
        <f>IF('Salesforce Dump'!H224&lt;&gt;"",'Salesforce Dump'!H224,"")</f>
        <v/>
      </c>
      <c r="J227" s="51" t="str">
        <f>IF('Salesforce Dump'!I224&lt;&gt;"",'Salesforce Dump'!I224,"")</f>
        <v/>
      </c>
      <c r="K227" s="51" t="str">
        <f>IF('Salesforce Dump'!J224&lt;&gt;"",'Salesforce Dump'!J224,"")</f>
        <v/>
      </c>
      <c r="L227" s="52" t="str">
        <f>IFERROR(INDEX('OBA Dump'!C:C,MATCH($E227*1,'OBA Dump'!$A:$A,0)),"")</f>
        <v/>
      </c>
      <c r="M227" s="52" t="str">
        <f>IFERROR(INDEX('OBA Dump'!D:D,MATCH($E227*1,'OBA Dump'!$A:$A,0)),"")</f>
        <v/>
      </c>
      <c r="N227" s="52"/>
      <c r="O227" s="52"/>
      <c r="P227" s="53"/>
      <c r="Q227" s="52"/>
      <c r="R227" s="38" t="str">
        <f>_xlfn.IFNA(VLOOKUP(E227,'Pre-Booked Holidays'!A:B,2,0),"")</f>
        <v/>
      </c>
      <c r="S227" s="38" t="str">
        <f>IF(E227="","",IF(IFERROR(VLOOKUP(E227,'Onbase Report'!D:E,2,0),"")&lt;&gt;"","Details in Onbase","No Details"))</f>
        <v/>
      </c>
      <c r="T227" s="38" t="str">
        <f>IF(LEFT('Salesforce Dump'!Q224,5)="BHX10",LEFT('Salesforce Dump'!Q224,5),LEFT('Salesforce Dump'!Q224,4))</f>
        <v/>
      </c>
      <c r="U227" s="38"/>
    </row>
    <row r="228" spans="1:21" ht="14.5" x14ac:dyDescent="0.35">
      <c r="A228" s="47" t="str">
        <f>IF('Salesforce Dump'!A225&lt;&gt;"",'Salesforce Dump'!A225,"")</f>
        <v/>
      </c>
      <c r="B228" s="48"/>
      <c r="C228" s="49" t="str">
        <f>IF('Salesforce Dump'!B225&lt;&gt;"",'Salesforce Dump'!B225,"")</f>
        <v/>
      </c>
      <c r="D228" s="48"/>
      <c r="E228" s="50" t="str">
        <f>IF('Salesforce Dump'!C225&lt;&gt;"",'Salesforce Dump'!C225,"")</f>
        <v/>
      </c>
      <c r="F228" s="49" t="str">
        <f>IF('Salesforce Dump'!D225&lt;&gt;"",'Salesforce Dump'!D225,"")</f>
        <v/>
      </c>
      <c r="G228" s="49" t="str">
        <f>IF('Salesforce Dump'!E225&lt;&gt;"",'Salesforce Dump'!E225,"")</f>
        <v/>
      </c>
      <c r="H228" s="49" t="str">
        <f>IF('Salesforce Dump'!G225&lt;&gt;"",'Salesforce Dump'!G225,"")</f>
        <v/>
      </c>
      <c r="I228" s="49" t="str">
        <f>IF('Salesforce Dump'!H225&lt;&gt;"",'Salesforce Dump'!H225,"")</f>
        <v/>
      </c>
      <c r="J228" s="51" t="str">
        <f>IF('Salesforce Dump'!I225&lt;&gt;"",'Salesforce Dump'!I225,"")</f>
        <v/>
      </c>
      <c r="K228" s="51" t="str">
        <f>IF('Salesforce Dump'!J225&lt;&gt;"",'Salesforce Dump'!J225,"")</f>
        <v/>
      </c>
      <c r="L228" s="52" t="str">
        <f>IFERROR(INDEX('OBA Dump'!C:C,MATCH($E228*1,'OBA Dump'!$A:$A,0)),"")</f>
        <v/>
      </c>
      <c r="M228" s="52" t="str">
        <f>IFERROR(INDEX('OBA Dump'!D:D,MATCH($E228*1,'OBA Dump'!$A:$A,0)),"")</f>
        <v/>
      </c>
      <c r="N228" s="52"/>
      <c r="O228" s="52"/>
      <c r="P228" s="53"/>
      <c r="Q228" s="52"/>
      <c r="R228" s="38" t="str">
        <f>_xlfn.IFNA(VLOOKUP(E228,'Pre-Booked Holidays'!A:B,2,0),"")</f>
        <v/>
      </c>
      <c r="S228" s="38" t="str">
        <f>IF(E228="","",IF(IFERROR(VLOOKUP(E228,'Onbase Report'!D:E,2,0),"")&lt;&gt;"","Details in Onbase","No Details"))</f>
        <v/>
      </c>
      <c r="T228" s="38" t="str">
        <f>IF(LEFT('Salesforce Dump'!Q225,5)="BHX10",LEFT('Salesforce Dump'!Q225,5),LEFT('Salesforce Dump'!Q225,4))</f>
        <v/>
      </c>
      <c r="U228" s="38"/>
    </row>
    <row r="229" spans="1:21" ht="14.5" x14ac:dyDescent="0.35">
      <c r="A229" s="47" t="str">
        <f>IF('Salesforce Dump'!A226&lt;&gt;"",'Salesforce Dump'!A226,"")</f>
        <v/>
      </c>
      <c r="B229" s="48"/>
      <c r="C229" s="49" t="str">
        <f>IF('Salesforce Dump'!B226&lt;&gt;"",'Salesforce Dump'!B226,"")</f>
        <v/>
      </c>
      <c r="D229" s="48"/>
      <c r="E229" s="50" t="str">
        <f>IF('Salesforce Dump'!C226&lt;&gt;"",'Salesforce Dump'!C226,"")</f>
        <v/>
      </c>
      <c r="F229" s="49" t="str">
        <f>IF('Salesforce Dump'!D226&lt;&gt;"",'Salesforce Dump'!D226,"")</f>
        <v/>
      </c>
      <c r="G229" s="49" t="str">
        <f>IF('Salesforce Dump'!E226&lt;&gt;"",'Salesforce Dump'!E226,"")</f>
        <v/>
      </c>
      <c r="H229" s="49" t="str">
        <f>IF('Salesforce Dump'!G226&lt;&gt;"",'Salesforce Dump'!G226,"")</f>
        <v/>
      </c>
      <c r="I229" s="49" t="str">
        <f>IF('Salesforce Dump'!H226&lt;&gt;"",'Salesforce Dump'!H226,"")</f>
        <v/>
      </c>
      <c r="J229" s="51" t="str">
        <f>IF('Salesforce Dump'!I226&lt;&gt;"",'Salesforce Dump'!I226,"")</f>
        <v/>
      </c>
      <c r="K229" s="51" t="str">
        <f>IF('Salesforce Dump'!J226&lt;&gt;"",'Salesforce Dump'!J226,"")</f>
        <v/>
      </c>
      <c r="L229" s="52" t="str">
        <f>IFERROR(INDEX('OBA Dump'!C:C,MATCH($E229*1,'OBA Dump'!$A:$A,0)),"")</f>
        <v/>
      </c>
      <c r="M229" s="52" t="str">
        <f>IFERROR(INDEX('OBA Dump'!D:D,MATCH($E229*1,'OBA Dump'!$A:$A,0)),"")</f>
        <v/>
      </c>
      <c r="N229" s="52"/>
      <c r="O229" s="52"/>
      <c r="P229" s="53"/>
      <c r="Q229" s="52"/>
      <c r="R229" s="38" t="str">
        <f>_xlfn.IFNA(VLOOKUP(E229,'Pre-Booked Holidays'!A:B,2,0),"")</f>
        <v/>
      </c>
      <c r="S229" s="38" t="str">
        <f>IF(E229="","",IF(IFERROR(VLOOKUP(E229,'Onbase Report'!D:E,2,0),"")&lt;&gt;"","Details in Onbase","No Details"))</f>
        <v/>
      </c>
      <c r="T229" s="38" t="str">
        <f>IF(LEFT('Salesforce Dump'!Q226,5)="BHX10",LEFT('Salesforce Dump'!Q226,5),LEFT('Salesforce Dump'!Q226,4))</f>
        <v/>
      </c>
      <c r="U229" s="38"/>
    </row>
    <row r="230" spans="1:21" ht="14.5" x14ac:dyDescent="0.35">
      <c r="A230" s="47" t="str">
        <f>IF('Salesforce Dump'!A227&lt;&gt;"",'Salesforce Dump'!A227,"")</f>
        <v/>
      </c>
      <c r="B230" s="48"/>
      <c r="C230" s="49" t="str">
        <f>IF('Salesforce Dump'!B227&lt;&gt;"",'Salesforce Dump'!B227,"")</f>
        <v/>
      </c>
      <c r="D230" s="48"/>
      <c r="E230" s="50" t="str">
        <f>IF('Salesforce Dump'!C227&lt;&gt;"",'Salesforce Dump'!C227,"")</f>
        <v/>
      </c>
      <c r="F230" s="49" t="str">
        <f>IF('Salesforce Dump'!D227&lt;&gt;"",'Salesforce Dump'!D227,"")</f>
        <v/>
      </c>
      <c r="G230" s="49" t="str">
        <f>IF('Salesforce Dump'!E227&lt;&gt;"",'Salesforce Dump'!E227,"")</f>
        <v/>
      </c>
      <c r="H230" s="49" t="str">
        <f>IF('Salesforce Dump'!G227&lt;&gt;"",'Salesforce Dump'!G227,"")</f>
        <v/>
      </c>
      <c r="I230" s="49" t="str">
        <f>IF('Salesforce Dump'!H227&lt;&gt;"",'Salesforce Dump'!H227,"")</f>
        <v/>
      </c>
      <c r="J230" s="51" t="str">
        <f>IF('Salesforce Dump'!I227&lt;&gt;"",'Salesforce Dump'!I227,"")</f>
        <v/>
      </c>
      <c r="K230" s="51" t="str">
        <f>IF('Salesforce Dump'!J227&lt;&gt;"",'Salesforce Dump'!J227,"")</f>
        <v/>
      </c>
      <c r="L230" s="52" t="str">
        <f>IFERROR(INDEX('OBA Dump'!C:C,MATCH($E230*1,'OBA Dump'!$A:$A,0)),"")</f>
        <v/>
      </c>
      <c r="M230" s="52" t="str">
        <f>IFERROR(INDEX('OBA Dump'!D:D,MATCH($E230*1,'OBA Dump'!$A:$A,0)),"")</f>
        <v/>
      </c>
      <c r="N230" s="52"/>
      <c r="O230" s="52"/>
      <c r="P230" s="53"/>
      <c r="Q230" s="52"/>
      <c r="R230" s="38" t="str">
        <f>_xlfn.IFNA(VLOOKUP(E230,'Pre-Booked Holidays'!A:B,2,0),"")</f>
        <v/>
      </c>
      <c r="S230" s="38" t="str">
        <f>IF(E230="","",IF(IFERROR(VLOOKUP(E230,'Onbase Report'!D:E,2,0),"")&lt;&gt;"","Details in Onbase","No Details"))</f>
        <v/>
      </c>
      <c r="T230" s="38" t="str">
        <f>IF(LEFT('Salesforce Dump'!Q227,5)="BHX10",LEFT('Salesforce Dump'!Q227,5),LEFT('Salesforce Dump'!Q227,4))</f>
        <v/>
      </c>
      <c r="U230" s="38"/>
    </row>
    <row r="231" spans="1:21" ht="14.5" x14ac:dyDescent="0.35">
      <c r="A231" s="47" t="str">
        <f>IF('Salesforce Dump'!A228&lt;&gt;"",'Salesforce Dump'!A228,"")</f>
        <v/>
      </c>
      <c r="B231" s="48"/>
      <c r="C231" s="49" t="str">
        <f>IF('Salesforce Dump'!B228&lt;&gt;"",'Salesforce Dump'!B228,"")</f>
        <v/>
      </c>
      <c r="D231" s="48"/>
      <c r="E231" s="50" t="str">
        <f>IF('Salesforce Dump'!C228&lt;&gt;"",'Salesforce Dump'!C228,"")</f>
        <v/>
      </c>
      <c r="F231" s="49" t="str">
        <f>IF('Salesforce Dump'!D228&lt;&gt;"",'Salesforce Dump'!D228,"")</f>
        <v/>
      </c>
      <c r="G231" s="49" t="str">
        <f>IF('Salesforce Dump'!E228&lt;&gt;"",'Salesforce Dump'!E228,"")</f>
        <v/>
      </c>
      <c r="H231" s="49" t="str">
        <f>IF('Salesforce Dump'!G228&lt;&gt;"",'Salesforce Dump'!G228,"")</f>
        <v/>
      </c>
      <c r="I231" s="49" t="str">
        <f>IF('Salesforce Dump'!H228&lt;&gt;"",'Salesforce Dump'!H228,"")</f>
        <v/>
      </c>
      <c r="J231" s="51" t="str">
        <f>IF('Salesforce Dump'!I228&lt;&gt;"",'Salesforce Dump'!I228,"")</f>
        <v/>
      </c>
      <c r="K231" s="51" t="str">
        <f>IF('Salesforce Dump'!J228&lt;&gt;"",'Salesforce Dump'!J228,"")</f>
        <v/>
      </c>
      <c r="L231" s="52" t="str">
        <f>IFERROR(INDEX('OBA Dump'!C:C,MATCH($E231*1,'OBA Dump'!$A:$A,0)),"")</f>
        <v/>
      </c>
      <c r="M231" s="52" t="str">
        <f>IFERROR(INDEX('OBA Dump'!D:D,MATCH($E231*1,'OBA Dump'!$A:$A,0)),"")</f>
        <v/>
      </c>
      <c r="N231" s="52"/>
      <c r="O231" s="52"/>
      <c r="P231" s="53"/>
      <c r="Q231" s="52"/>
      <c r="R231" s="38" t="str">
        <f>_xlfn.IFNA(VLOOKUP(E231,'Pre-Booked Holidays'!A:B,2,0),"")</f>
        <v/>
      </c>
      <c r="S231" s="38" t="str">
        <f>IF(E231="","",IF(IFERROR(VLOOKUP(E231,'Onbase Report'!D:E,2,0),"")&lt;&gt;"","Details in Onbase","No Details"))</f>
        <v/>
      </c>
      <c r="T231" s="38" t="str">
        <f>IF(LEFT('Salesforce Dump'!Q228,5)="BHX10",LEFT('Salesforce Dump'!Q228,5),LEFT('Salesforce Dump'!Q228,4))</f>
        <v/>
      </c>
      <c r="U231" s="38"/>
    </row>
    <row r="232" spans="1:21" ht="14.5" x14ac:dyDescent="0.35">
      <c r="A232" s="47" t="str">
        <f>IF('Salesforce Dump'!A229&lt;&gt;"",'Salesforce Dump'!A229,"")</f>
        <v/>
      </c>
      <c r="B232" s="48"/>
      <c r="C232" s="49" t="str">
        <f>IF('Salesforce Dump'!B229&lt;&gt;"",'Salesforce Dump'!B229,"")</f>
        <v/>
      </c>
      <c r="D232" s="48"/>
      <c r="E232" s="50" t="str">
        <f>IF('Salesforce Dump'!C229&lt;&gt;"",'Salesforce Dump'!C229,"")</f>
        <v/>
      </c>
      <c r="F232" s="49" t="str">
        <f>IF('Salesforce Dump'!D229&lt;&gt;"",'Salesforce Dump'!D229,"")</f>
        <v/>
      </c>
      <c r="G232" s="49" t="str">
        <f>IF('Salesforce Dump'!E229&lt;&gt;"",'Salesforce Dump'!E229,"")</f>
        <v/>
      </c>
      <c r="H232" s="49" t="str">
        <f>IF('Salesforce Dump'!G229&lt;&gt;"",'Salesforce Dump'!G229,"")</f>
        <v/>
      </c>
      <c r="I232" s="49" t="str">
        <f>IF('Salesforce Dump'!H229&lt;&gt;"",'Salesforce Dump'!H229,"")</f>
        <v/>
      </c>
      <c r="J232" s="51" t="str">
        <f>IF('Salesforce Dump'!I229&lt;&gt;"",'Salesforce Dump'!I229,"")</f>
        <v/>
      </c>
      <c r="K232" s="51" t="str">
        <f>IF('Salesforce Dump'!J229&lt;&gt;"",'Salesforce Dump'!J229,"")</f>
        <v/>
      </c>
      <c r="L232" s="52" t="str">
        <f>IFERROR(INDEX('OBA Dump'!C:C,MATCH($E232*1,'OBA Dump'!$A:$A,0)),"")</f>
        <v/>
      </c>
      <c r="M232" s="52" t="str">
        <f>IFERROR(INDEX('OBA Dump'!D:D,MATCH($E232*1,'OBA Dump'!$A:$A,0)),"")</f>
        <v/>
      </c>
      <c r="N232" s="52"/>
      <c r="O232" s="52"/>
      <c r="P232" s="53"/>
      <c r="Q232" s="52"/>
      <c r="R232" s="38" t="str">
        <f>_xlfn.IFNA(VLOOKUP(E232,'Pre-Booked Holidays'!A:B,2,0),"")</f>
        <v/>
      </c>
      <c r="S232" s="38" t="str">
        <f>IF(E232="","",IF(IFERROR(VLOOKUP(E232,'Onbase Report'!D:E,2,0),"")&lt;&gt;"","Details in Onbase","No Details"))</f>
        <v/>
      </c>
      <c r="T232" s="38" t="str">
        <f>IF(LEFT('Salesforce Dump'!Q229,5)="BHX10",LEFT('Salesforce Dump'!Q229,5),LEFT('Salesforce Dump'!Q229,4))</f>
        <v/>
      </c>
      <c r="U232" s="38"/>
    </row>
    <row r="233" spans="1:21" ht="14.5" x14ac:dyDescent="0.35">
      <c r="A233" s="47" t="str">
        <f>IF('Salesforce Dump'!A230&lt;&gt;"",'Salesforce Dump'!A230,"")</f>
        <v/>
      </c>
      <c r="B233" s="48"/>
      <c r="C233" s="49" t="str">
        <f>IF('Salesforce Dump'!B230&lt;&gt;"",'Salesforce Dump'!B230,"")</f>
        <v/>
      </c>
      <c r="D233" s="48"/>
      <c r="E233" s="50" t="str">
        <f>IF('Salesforce Dump'!C230&lt;&gt;"",'Salesforce Dump'!C230,"")</f>
        <v/>
      </c>
      <c r="F233" s="49" t="str">
        <f>IF('Salesforce Dump'!D230&lt;&gt;"",'Salesforce Dump'!D230,"")</f>
        <v/>
      </c>
      <c r="G233" s="49" t="str">
        <f>IF('Salesforce Dump'!E230&lt;&gt;"",'Salesforce Dump'!E230,"")</f>
        <v/>
      </c>
      <c r="H233" s="49" t="str">
        <f>IF('Salesforce Dump'!G230&lt;&gt;"",'Salesforce Dump'!G230,"")</f>
        <v/>
      </c>
      <c r="I233" s="49" t="str">
        <f>IF('Salesforce Dump'!H230&lt;&gt;"",'Salesforce Dump'!H230,"")</f>
        <v/>
      </c>
      <c r="J233" s="51" t="str">
        <f>IF('Salesforce Dump'!I230&lt;&gt;"",'Salesforce Dump'!I230,"")</f>
        <v/>
      </c>
      <c r="K233" s="51" t="str">
        <f>IF('Salesforce Dump'!J230&lt;&gt;"",'Salesforce Dump'!J230,"")</f>
        <v/>
      </c>
      <c r="L233" s="52" t="str">
        <f>IFERROR(INDEX('OBA Dump'!C:C,MATCH($E233*1,'OBA Dump'!$A:$A,0)),"")</f>
        <v/>
      </c>
      <c r="M233" s="52" t="str">
        <f>IFERROR(INDEX('OBA Dump'!D:D,MATCH($E233*1,'OBA Dump'!$A:$A,0)),"")</f>
        <v/>
      </c>
      <c r="N233" s="52"/>
      <c r="O233" s="52"/>
      <c r="P233" s="53"/>
      <c r="Q233" s="52"/>
      <c r="R233" s="38" t="str">
        <f>_xlfn.IFNA(VLOOKUP(E233,'Pre-Booked Holidays'!A:B,2,0),"")</f>
        <v/>
      </c>
      <c r="S233" s="38" t="str">
        <f>IF(E233="","",IF(IFERROR(VLOOKUP(E233,'Onbase Report'!D:E,2,0),"")&lt;&gt;"","Details in Onbase","No Details"))</f>
        <v/>
      </c>
      <c r="T233" s="38" t="str">
        <f>IF(LEFT('Salesforce Dump'!Q230,5)="BHX10",LEFT('Salesforce Dump'!Q230,5),LEFT('Salesforce Dump'!Q230,4))</f>
        <v/>
      </c>
      <c r="U233" s="38"/>
    </row>
    <row r="234" spans="1:21" ht="14.5" x14ac:dyDescent="0.35">
      <c r="A234" s="47" t="str">
        <f>IF('Salesforce Dump'!A231&lt;&gt;"",'Salesforce Dump'!A231,"")</f>
        <v/>
      </c>
      <c r="B234" s="48"/>
      <c r="C234" s="49" t="str">
        <f>IF('Salesforce Dump'!B231&lt;&gt;"",'Salesforce Dump'!B231,"")</f>
        <v/>
      </c>
      <c r="D234" s="48"/>
      <c r="E234" s="50" t="str">
        <f>IF('Salesforce Dump'!C231&lt;&gt;"",'Salesforce Dump'!C231,"")</f>
        <v/>
      </c>
      <c r="F234" s="49" t="str">
        <f>IF('Salesforce Dump'!D231&lt;&gt;"",'Salesforce Dump'!D231,"")</f>
        <v/>
      </c>
      <c r="G234" s="49" t="str">
        <f>IF('Salesforce Dump'!E231&lt;&gt;"",'Salesforce Dump'!E231,"")</f>
        <v/>
      </c>
      <c r="H234" s="49" t="str">
        <f>IF('Salesforce Dump'!G231&lt;&gt;"",'Salesforce Dump'!G231,"")</f>
        <v/>
      </c>
      <c r="I234" s="49" t="str">
        <f>IF('Salesforce Dump'!H231&lt;&gt;"",'Salesforce Dump'!H231,"")</f>
        <v/>
      </c>
      <c r="J234" s="51" t="str">
        <f>IF('Salesforce Dump'!I231&lt;&gt;"",'Salesforce Dump'!I231,"")</f>
        <v/>
      </c>
      <c r="K234" s="51" t="str">
        <f>IF('Salesforce Dump'!J231&lt;&gt;"",'Salesforce Dump'!J231,"")</f>
        <v/>
      </c>
      <c r="L234" s="52" t="str">
        <f>IFERROR(INDEX('OBA Dump'!C:C,MATCH($E234*1,'OBA Dump'!$A:$A,0)),"")</f>
        <v/>
      </c>
      <c r="M234" s="52" t="str">
        <f>IFERROR(INDEX('OBA Dump'!D:D,MATCH($E234*1,'OBA Dump'!$A:$A,0)),"")</f>
        <v/>
      </c>
      <c r="N234" s="52"/>
      <c r="O234" s="52"/>
      <c r="P234" s="53"/>
      <c r="Q234" s="52"/>
      <c r="R234" s="38" t="str">
        <f>_xlfn.IFNA(VLOOKUP(E234,'Pre-Booked Holidays'!A:B,2,0),"")</f>
        <v/>
      </c>
      <c r="S234" s="38" t="str">
        <f>IF(E234="","",IF(IFERROR(VLOOKUP(E234,'Onbase Report'!D:E,2,0),"")&lt;&gt;"","Details in Onbase","No Details"))</f>
        <v/>
      </c>
      <c r="T234" s="38" t="str">
        <f>IF(LEFT('Salesforce Dump'!Q231,5)="BHX10",LEFT('Salesforce Dump'!Q231,5),LEFT('Salesforce Dump'!Q231,4))</f>
        <v/>
      </c>
      <c r="U234" s="38"/>
    </row>
    <row r="235" spans="1:21" ht="14.5" x14ac:dyDescent="0.35">
      <c r="A235" s="47" t="str">
        <f>IF('Salesforce Dump'!A232&lt;&gt;"",'Salesforce Dump'!A232,"")</f>
        <v/>
      </c>
      <c r="B235" s="48"/>
      <c r="C235" s="49" t="str">
        <f>IF('Salesforce Dump'!B232&lt;&gt;"",'Salesforce Dump'!B232,"")</f>
        <v/>
      </c>
      <c r="D235" s="48"/>
      <c r="E235" s="50" t="str">
        <f>IF('Salesforce Dump'!C232&lt;&gt;"",'Salesforce Dump'!C232,"")</f>
        <v/>
      </c>
      <c r="F235" s="49" t="str">
        <f>IF('Salesforce Dump'!D232&lt;&gt;"",'Salesforce Dump'!D232,"")</f>
        <v/>
      </c>
      <c r="G235" s="49" t="str">
        <f>IF('Salesforce Dump'!E232&lt;&gt;"",'Salesforce Dump'!E232,"")</f>
        <v/>
      </c>
      <c r="H235" s="49" t="str">
        <f>IF('Salesforce Dump'!G232&lt;&gt;"",'Salesforce Dump'!G232,"")</f>
        <v/>
      </c>
      <c r="I235" s="49" t="str">
        <f>IF('Salesforce Dump'!H232&lt;&gt;"",'Salesforce Dump'!H232,"")</f>
        <v/>
      </c>
      <c r="J235" s="51" t="str">
        <f>IF('Salesforce Dump'!I232&lt;&gt;"",'Salesforce Dump'!I232,"")</f>
        <v/>
      </c>
      <c r="K235" s="51" t="str">
        <f>IF('Salesforce Dump'!J232&lt;&gt;"",'Salesforce Dump'!J232,"")</f>
        <v/>
      </c>
      <c r="L235" s="52" t="str">
        <f>IFERROR(INDEX('OBA Dump'!C:C,MATCH($E235*1,'OBA Dump'!$A:$A,0)),"")</f>
        <v/>
      </c>
      <c r="M235" s="52" t="str">
        <f>IFERROR(INDEX('OBA Dump'!D:D,MATCH($E235*1,'OBA Dump'!$A:$A,0)),"")</f>
        <v/>
      </c>
      <c r="N235" s="52"/>
      <c r="O235" s="52"/>
      <c r="P235" s="53"/>
      <c r="Q235" s="52"/>
      <c r="R235" s="38" t="str">
        <f>_xlfn.IFNA(VLOOKUP(E235,'Pre-Booked Holidays'!A:B,2,0),"")</f>
        <v/>
      </c>
      <c r="S235" s="38" t="str">
        <f>IF(E235="","",IF(IFERROR(VLOOKUP(E235,'Onbase Report'!D:E,2,0),"")&lt;&gt;"","Details in Onbase","No Details"))</f>
        <v/>
      </c>
      <c r="T235" s="38" t="str">
        <f>IF(LEFT('Salesforce Dump'!Q232,5)="BHX10",LEFT('Salesforce Dump'!Q232,5),LEFT('Salesforce Dump'!Q232,4))</f>
        <v/>
      </c>
      <c r="U235" s="38"/>
    </row>
    <row r="236" spans="1:21" ht="14.5" x14ac:dyDescent="0.35">
      <c r="A236" s="47" t="str">
        <f>IF('Salesforce Dump'!A233&lt;&gt;"",'Salesforce Dump'!A233,"")</f>
        <v/>
      </c>
      <c r="B236" s="48"/>
      <c r="C236" s="49" t="str">
        <f>IF('Salesforce Dump'!B233&lt;&gt;"",'Salesforce Dump'!B233,"")</f>
        <v/>
      </c>
      <c r="D236" s="48"/>
      <c r="E236" s="50" t="str">
        <f>IF('Salesforce Dump'!C233&lt;&gt;"",'Salesforce Dump'!C233,"")</f>
        <v/>
      </c>
      <c r="F236" s="49" t="str">
        <f>IF('Salesforce Dump'!D233&lt;&gt;"",'Salesforce Dump'!D233,"")</f>
        <v/>
      </c>
      <c r="G236" s="49" t="str">
        <f>IF('Salesforce Dump'!E233&lt;&gt;"",'Salesforce Dump'!E233,"")</f>
        <v/>
      </c>
      <c r="H236" s="49" t="str">
        <f>IF('Salesforce Dump'!G233&lt;&gt;"",'Salesforce Dump'!G233,"")</f>
        <v/>
      </c>
      <c r="I236" s="49" t="str">
        <f>IF('Salesforce Dump'!H233&lt;&gt;"",'Salesforce Dump'!H233,"")</f>
        <v/>
      </c>
      <c r="J236" s="51" t="str">
        <f>IF('Salesforce Dump'!I233&lt;&gt;"",'Salesforce Dump'!I233,"")</f>
        <v/>
      </c>
      <c r="K236" s="51" t="str">
        <f>IF('Salesforce Dump'!J233&lt;&gt;"",'Salesforce Dump'!J233,"")</f>
        <v/>
      </c>
      <c r="L236" s="52" t="str">
        <f>IFERROR(INDEX('OBA Dump'!C:C,MATCH($E236*1,'OBA Dump'!$A:$A,0)),"")</f>
        <v/>
      </c>
      <c r="M236" s="52" t="str">
        <f>IFERROR(INDEX('OBA Dump'!D:D,MATCH($E236*1,'OBA Dump'!$A:$A,0)),"")</f>
        <v/>
      </c>
      <c r="N236" s="52"/>
      <c r="O236" s="52"/>
      <c r="P236" s="53"/>
      <c r="Q236" s="52"/>
      <c r="R236" s="38" t="str">
        <f>_xlfn.IFNA(VLOOKUP(E236,'Pre-Booked Holidays'!A:B,2,0),"")</f>
        <v/>
      </c>
      <c r="S236" s="38" t="str">
        <f>IF(E236="","",IF(IFERROR(VLOOKUP(E236,'Onbase Report'!D:E,2,0),"")&lt;&gt;"","Details in Onbase","No Details"))</f>
        <v/>
      </c>
      <c r="T236" s="38" t="str">
        <f>IF(LEFT('Salesforce Dump'!Q233,5)="BHX10",LEFT('Salesforce Dump'!Q233,5),LEFT('Salesforce Dump'!Q233,4))</f>
        <v/>
      </c>
      <c r="U236" s="38"/>
    </row>
    <row r="237" spans="1:21" ht="14.5" x14ac:dyDescent="0.35">
      <c r="A237" s="47" t="str">
        <f>IF('Salesforce Dump'!A234&lt;&gt;"",'Salesforce Dump'!A234,"")</f>
        <v/>
      </c>
      <c r="B237" s="48"/>
      <c r="C237" s="49" t="str">
        <f>IF('Salesforce Dump'!B234&lt;&gt;"",'Salesforce Dump'!B234,"")</f>
        <v/>
      </c>
      <c r="D237" s="48"/>
      <c r="E237" s="50" t="str">
        <f>IF('Salesforce Dump'!C234&lt;&gt;"",'Salesforce Dump'!C234,"")</f>
        <v/>
      </c>
      <c r="F237" s="49" t="str">
        <f>IF('Salesforce Dump'!D234&lt;&gt;"",'Salesforce Dump'!D234,"")</f>
        <v/>
      </c>
      <c r="G237" s="49" t="str">
        <f>IF('Salesforce Dump'!E234&lt;&gt;"",'Salesforce Dump'!E234,"")</f>
        <v/>
      </c>
      <c r="H237" s="49" t="str">
        <f>IF('Salesforce Dump'!G234&lt;&gt;"",'Salesforce Dump'!G234,"")</f>
        <v/>
      </c>
      <c r="I237" s="49" t="str">
        <f>IF('Salesforce Dump'!H234&lt;&gt;"",'Salesforce Dump'!H234,"")</f>
        <v/>
      </c>
      <c r="J237" s="51" t="str">
        <f>IF('Salesforce Dump'!I234&lt;&gt;"",'Salesforce Dump'!I234,"")</f>
        <v/>
      </c>
      <c r="K237" s="51" t="str">
        <f>IF('Salesforce Dump'!J234&lt;&gt;"",'Salesforce Dump'!J234,"")</f>
        <v/>
      </c>
      <c r="L237" s="52" t="str">
        <f>IFERROR(INDEX('OBA Dump'!C:C,MATCH($E237*1,'OBA Dump'!$A:$A,0)),"")</f>
        <v/>
      </c>
      <c r="M237" s="52" t="str">
        <f>IFERROR(INDEX('OBA Dump'!D:D,MATCH($E237*1,'OBA Dump'!$A:$A,0)),"")</f>
        <v/>
      </c>
      <c r="N237" s="52"/>
      <c r="O237" s="52"/>
      <c r="P237" s="53"/>
      <c r="Q237" s="52"/>
      <c r="R237" s="38" t="str">
        <f>_xlfn.IFNA(VLOOKUP(E237,'Pre-Booked Holidays'!A:B,2,0),"")</f>
        <v/>
      </c>
      <c r="S237" s="38" t="str">
        <f>IF(E237="","",IF(IFERROR(VLOOKUP(E237,'Onbase Report'!D:E,2,0),"")&lt;&gt;"","Details in Onbase","No Details"))</f>
        <v/>
      </c>
      <c r="T237" s="38" t="str">
        <f>IF(LEFT('Salesforce Dump'!Q234,5)="BHX10",LEFT('Salesforce Dump'!Q234,5),LEFT('Salesforce Dump'!Q234,4))</f>
        <v/>
      </c>
      <c r="U237" s="38"/>
    </row>
    <row r="238" spans="1:21" ht="14.5" x14ac:dyDescent="0.35">
      <c r="A238" s="47" t="str">
        <f>IF('Salesforce Dump'!A235&lt;&gt;"",'Salesforce Dump'!A235,"")</f>
        <v/>
      </c>
      <c r="B238" s="48"/>
      <c r="C238" s="49" t="str">
        <f>IF('Salesforce Dump'!B235&lt;&gt;"",'Salesforce Dump'!B235,"")</f>
        <v/>
      </c>
      <c r="D238" s="48"/>
      <c r="E238" s="50" t="str">
        <f>IF('Salesforce Dump'!C235&lt;&gt;"",'Salesforce Dump'!C235,"")</f>
        <v/>
      </c>
      <c r="F238" s="49" t="str">
        <f>IF('Salesforce Dump'!D235&lt;&gt;"",'Salesforce Dump'!D235,"")</f>
        <v/>
      </c>
      <c r="G238" s="49" t="str">
        <f>IF('Salesforce Dump'!E235&lt;&gt;"",'Salesforce Dump'!E235,"")</f>
        <v/>
      </c>
      <c r="H238" s="49" t="str">
        <f>IF('Salesforce Dump'!G235&lt;&gt;"",'Salesforce Dump'!G235,"")</f>
        <v/>
      </c>
      <c r="I238" s="49" t="str">
        <f>IF('Salesforce Dump'!H235&lt;&gt;"",'Salesforce Dump'!H235,"")</f>
        <v/>
      </c>
      <c r="J238" s="51" t="str">
        <f>IF('Salesforce Dump'!I235&lt;&gt;"",'Salesforce Dump'!I235,"")</f>
        <v/>
      </c>
      <c r="K238" s="51" t="str">
        <f>IF('Salesforce Dump'!J235&lt;&gt;"",'Salesforce Dump'!J235,"")</f>
        <v/>
      </c>
      <c r="L238" s="52" t="str">
        <f>IFERROR(INDEX('OBA Dump'!C:C,MATCH($E238*1,'OBA Dump'!$A:$A,0)),"")</f>
        <v/>
      </c>
      <c r="M238" s="52" t="str">
        <f>IFERROR(INDEX('OBA Dump'!D:D,MATCH($E238*1,'OBA Dump'!$A:$A,0)),"")</f>
        <v/>
      </c>
      <c r="N238" s="52"/>
      <c r="O238" s="52"/>
      <c r="P238" s="53"/>
      <c r="Q238" s="52"/>
      <c r="R238" s="38" t="str">
        <f>_xlfn.IFNA(VLOOKUP(E238,'Pre-Booked Holidays'!A:B,2,0),"")</f>
        <v/>
      </c>
      <c r="S238" s="38" t="str">
        <f>IF(E238="","",IF(IFERROR(VLOOKUP(E238,'Onbase Report'!D:E,2,0),"")&lt;&gt;"","Details in Onbase","No Details"))</f>
        <v/>
      </c>
      <c r="T238" s="38" t="str">
        <f>IF(LEFT('Salesforce Dump'!Q235,5)="BHX10",LEFT('Salesforce Dump'!Q235,5),LEFT('Salesforce Dump'!Q235,4))</f>
        <v/>
      </c>
      <c r="U238" s="38"/>
    </row>
    <row r="239" spans="1:21" ht="14.5" x14ac:dyDescent="0.35">
      <c r="A239" s="47" t="str">
        <f>IF('Salesforce Dump'!A236&lt;&gt;"",'Salesforce Dump'!A236,"")</f>
        <v/>
      </c>
      <c r="B239" s="48"/>
      <c r="C239" s="49" t="str">
        <f>IF('Salesforce Dump'!B236&lt;&gt;"",'Salesforce Dump'!B236,"")</f>
        <v/>
      </c>
      <c r="D239" s="48"/>
      <c r="E239" s="50" t="str">
        <f>IF('Salesforce Dump'!C236&lt;&gt;"",'Salesforce Dump'!C236,"")</f>
        <v/>
      </c>
      <c r="F239" s="49" t="str">
        <f>IF('Salesforce Dump'!D236&lt;&gt;"",'Salesforce Dump'!D236,"")</f>
        <v/>
      </c>
      <c r="G239" s="49" t="str">
        <f>IF('Salesforce Dump'!E236&lt;&gt;"",'Salesforce Dump'!E236,"")</f>
        <v/>
      </c>
      <c r="H239" s="49" t="str">
        <f>IF('Salesforce Dump'!G236&lt;&gt;"",'Salesforce Dump'!G236,"")</f>
        <v/>
      </c>
      <c r="I239" s="49" t="str">
        <f>IF('Salesforce Dump'!H236&lt;&gt;"",'Salesforce Dump'!H236,"")</f>
        <v/>
      </c>
      <c r="J239" s="51" t="str">
        <f>IF('Salesforce Dump'!I236&lt;&gt;"",'Salesforce Dump'!I236,"")</f>
        <v/>
      </c>
      <c r="K239" s="51" t="str">
        <f>IF('Salesforce Dump'!J236&lt;&gt;"",'Salesforce Dump'!J236,"")</f>
        <v/>
      </c>
      <c r="L239" s="52" t="str">
        <f>IFERROR(INDEX('OBA Dump'!C:C,MATCH($E239*1,'OBA Dump'!$A:$A,0)),"")</f>
        <v/>
      </c>
      <c r="M239" s="52" t="str">
        <f>IFERROR(INDEX('OBA Dump'!D:D,MATCH($E239*1,'OBA Dump'!$A:$A,0)),"")</f>
        <v/>
      </c>
      <c r="N239" s="52"/>
      <c r="O239" s="52"/>
      <c r="P239" s="53"/>
      <c r="Q239" s="52"/>
      <c r="R239" s="38" t="str">
        <f>_xlfn.IFNA(VLOOKUP(E239,'Pre-Booked Holidays'!A:B,2,0),"")</f>
        <v/>
      </c>
      <c r="S239" s="38" t="str">
        <f>IF(E239="","",IF(IFERROR(VLOOKUP(E239,'Onbase Report'!D:E,2,0),"")&lt;&gt;"","Details in Onbase","No Details"))</f>
        <v/>
      </c>
      <c r="T239" s="38" t="str">
        <f>IF(LEFT('Salesforce Dump'!Q236,5)="BHX10",LEFT('Salesforce Dump'!Q236,5),LEFT('Salesforce Dump'!Q236,4))</f>
        <v/>
      </c>
      <c r="U239" s="38"/>
    </row>
    <row r="240" spans="1:21" ht="14.5" x14ac:dyDescent="0.35">
      <c r="A240" s="47" t="str">
        <f>IF('Salesforce Dump'!A237&lt;&gt;"",'Salesforce Dump'!A237,"")</f>
        <v/>
      </c>
      <c r="B240" s="48"/>
      <c r="C240" s="49" t="str">
        <f>IF('Salesforce Dump'!B237&lt;&gt;"",'Salesforce Dump'!B237,"")</f>
        <v/>
      </c>
      <c r="D240" s="48"/>
      <c r="E240" s="50" t="str">
        <f>IF('Salesforce Dump'!C237&lt;&gt;"",'Salesforce Dump'!C237,"")</f>
        <v/>
      </c>
      <c r="F240" s="49" t="str">
        <f>IF('Salesforce Dump'!D237&lt;&gt;"",'Salesforce Dump'!D237,"")</f>
        <v/>
      </c>
      <c r="G240" s="49" t="str">
        <f>IF('Salesforce Dump'!E237&lt;&gt;"",'Salesforce Dump'!E237,"")</f>
        <v/>
      </c>
      <c r="H240" s="49" t="str">
        <f>IF('Salesforce Dump'!G237&lt;&gt;"",'Salesforce Dump'!G237,"")</f>
        <v/>
      </c>
      <c r="I240" s="49" t="str">
        <f>IF('Salesforce Dump'!H237&lt;&gt;"",'Salesforce Dump'!H237,"")</f>
        <v/>
      </c>
      <c r="J240" s="51" t="str">
        <f>IF('Salesforce Dump'!I237&lt;&gt;"",'Salesforce Dump'!I237,"")</f>
        <v/>
      </c>
      <c r="K240" s="51" t="str">
        <f>IF('Salesforce Dump'!J237&lt;&gt;"",'Salesforce Dump'!J237,"")</f>
        <v/>
      </c>
      <c r="L240" s="52" t="str">
        <f>IFERROR(INDEX('OBA Dump'!C:C,MATCH($E240*1,'OBA Dump'!$A:$A,0)),"")</f>
        <v/>
      </c>
      <c r="M240" s="52" t="str">
        <f>IFERROR(INDEX('OBA Dump'!D:D,MATCH($E240*1,'OBA Dump'!$A:$A,0)),"")</f>
        <v/>
      </c>
      <c r="N240" s="52"/>
      <c r="O240" s="52"/>
      <c r="P240" s="53"/>
      <c r="Q240" s="52"/>
      <c r="R240" s="38" t="str">
        <f>_xlfn.IFNA(VLOOKUP(E240,'Pre-Booked Holidays'!A:B,2,0),"")</f>
        <v/>
      </c>
      <c r="S240" s="38" t="str">
        <f>IF(E240="","",IF(IFERROR(VLOOKUP(E240,'Onbase Report'!D:E,2,0),"")&lt;&gt;"","Details in Onbase","No Details"))</f>
        <v/>
      </c>
      <c r="T240" s="38" t="str">
        <f>IF(LEFT('Salesforce Dump'!Q237,5)="BHX10",LEFT('Salesforce Dump'!Q237,5),LEFT('Salesforce Dump'!Q237,4))</f>
        <v/>
      </c>
      <c r="U240" s="38"/>
    </row>
    <row r="241" spans="1:21" ht="14.5" x14ac:dyDescent="0.35">
      <c r="A241" s="47" t="str">
        <f>IF('Salesforce Dump'!A238&lt;&gt;"",'Salesforce Dump'!A238,"")</f>
        <v/>
      </c>
      <c r="B241" s="48"/>
      <c r="C241" s="49" t="str">
        <f>IF('Salesforce Dump'!B238&lt;&gt;"",'Salesforce Dump'!B238,"")</f>
        <v/>
      </c>
      <c r="D241" s="48"/>
      <c r="E241" s="50" t="str">
        <f>IF('Salesforce Dump'!C238&lt;&gt;"",'Salesforce Dump'!C238,"")</f>
        <v/>
      </c>
      <c r="F241" s="49" t="str">
        <f>IF('Salesforce Dump'!D238&lt;&gt;"",'Salesforce Dump'!D238,"")</f>
        <v/>
      </c>
      <c r="G241" s="49" t="str">
        <f>IF('Salesforce Dump'!E238&lt;&gt;"",'Salesforce Dump'!E238,"")</f>
        <v/>
      </c>
      <c r="H241" s="49" t="str">
        <f>IF('Salesforce Dump'!G238&lt;&gt;"",'Salesforce Dump'!G238,"")</f>
        <v/>
      </c>
      <c r="I241" s="49" t="str">
        <f>IF('Salesforce Dump'!H238&lt;&gt;"",'Salesforce Dump'!H238,"")</f>
        <v/>
      </c>
      <c r="J241" s="51" t="str">
        <f>IF('Salesforce Dump'!I238&lt;&gt;"",'Salesforce Dump'!I238,"")</f>
        <v/>
      </c>
      <c r="K241" s="51" t="str">
        <f>IF('Salesforce Dump'!J238&lt;&gt;"",'Salesforce Dump'!J238,"")</f>
        <v/>
      </c>
      <c r="L241" s="52" t="str">
        <f>IFERROR(INDEX('OBA Dump'!C:C,MATCH($E241*1,'OBA Dump'!$A:$A,0)),"")</f>
        <v/>
      </c>
      <c r="M241" s="52" t="str">
        <f>IFERROR(INDEX('OBA Dump'!D:D,MATCH($E241*1,'OBA Dump'!$A:$A,0)),"")</f>
        <v/>
      </c>
      <c r="N241" s="52"/>
      <c r="O241" s="52"/>
      <c r="P241" s="53"/>
      <c r="Q241" s="52"/>
      <c r="R241" s="38" t="str">
        <f>_xlfn.IFNA(VLOOKUP(E241,'Pre-Booked Holidays'!A:B,2,0),"")</f>
        <v/>
      </c>
      <c r="S241" s="38" t="str">
        <f>IF(E241="","",IF(IFERROR(VLOOKUP(E241,'Onbase Report'!D:E,2,0),"")&lt;&gt;"","Details in Onbase","No Details"))</f>
        <v/>
      </c>
      <c r="T241" s="38" t="str">
        <f>IF(LEFT('Salesforce Dump'!Q238,5)="BHX10",LEFT('Salesforce Dump'!Q238,5),LEFT('Salesforce Dump'!Q238,4))</f>
        <v/>
      </c>
      <c r="U241" s="38"/>
    </row>
    <row r="242" spans="1:21" ht="14.5" x14ac:dyDescent="0.35">
      <c r="A242" s="47" t="str">
        <f>IF('Salesforce Dump'!A239&lt;&gt;"",'Salesforce Dump'!A239,"")</f>
        <v/>
      </c>
      <c r="B242" s="48"/>
      <c r="C242" s="49" t="str">
        <f>IF('Salesforce Dump'!B239&lt;&gt;"",'Salesforce Dump'!B239,"")</f>
        <v/>
      </c>
      <c r="D242" s="48"/>
      <c r="E242" s="50" t="str">
        <f>IF('Salesforce Dump'!C239&lt;&gt;"",'Salesforce Dump'!C239,"")</f>
        <v/>
      </c>
      <c r="F242" s="49" t="str">
        <f>IF('Salesforce Dump'!D239&lt;&gt;"",'Salesforce Dump'!D239,"")</f>
        <v/>
      </c>
      <c r="G242" s="49" t="str">
        <f>IF('Salesforce Dump'!E239&lt;&gt;"",'Salesforce Dump'!E239,"")</f>
        <v/>
      </c>
      <c r="H242" s="49" t="str">
        <f>IF('Salesforce Dump'!G239&lt;&gt;"",'Salesforce Dump'!G239,"")</f>
        <v/>
      </c>
      <c r="I242" s="49" t="str">
        <f>IF('Salesforce Dump'!H239&lt;&gt;"",'Salesforce Dump'!H239,"")</f>
        <v/>
      </c>
      <c r="J242" s="51" t="str">
        <f>IF('Salesforce Dump'!I239&lt;&gt;"",'Salesforce Dump'!I239,"")</f>
        <v/>
      </c>
      <c r="K242" s="51" t="str">
        <f>IF('Salesforce Dump'!J239&lt;&gt;"",'Salesforce Dump'!J239,"")</f>
        <v/>
      </c>
      <c r="L242" s="52" t="str">
        <f>IFERROR(INDEX('OBA Dump'!C:C,MATCH($E242*1,'OBA Dump'!$A:$A,0)),"")</f>
        <v/>
      </c>
      <c r="M242" s="52" t="str">
        <f>IFERROR(INDEX('OBA Dump'!D:D,MATCH($E242*1,'OBA Dump'!$A:$A,0)),"")</f>
        <v/>
      </c>
      <c r="N242" s="52"/>
      <c r="O242" s="52"/>
      <c r="P242" s="53"/>
      <c r="Q242" s="52"/>
      <c r="R242" s="38" t="str">
        <f>_xlfn.IFNA(VLOOKUP(E242,'Pre-Booked Holidays'!A:B,2,0),"")</f>
        <v/>
      </c>
      <c r="S242" s="38" t="str">
        <f>IF(E242="","",IF(IFERROR(VLOOKUP(E242,'Onbase Report'!D:E,2,0),"")&lt;&gt;"","Details in Onbase","No Details"))</f>
        <v/>
      </c>
      <c r="T242" s="38" t="str">
        <f>IF(LEFT('Salesforce Dump'!Q239,5)="BHX10",LEFT('Salesforce Dump'!Q239,5),LEFT('Salesforce Dump'!Q239,4))</f>
        <v/>
      </c>
      <c r="U242" s="38"/>
    </row>
    <row r="243" spans="1:21" ht="14.5" x14ac:dyDescent="0.35">
      <c r="A243" s="47" t="str">
        <f>IF('Salesforce Dump'!A240&lt;&gt;"",'Salesforce Dump'!A240,"")</f>
        <v/>
      </c>
      <c r="B243" s="48"/>
      <c r="C243" s="49" t="str">
        <f>IF('Salesforce Dump'!B240&lt;&gt;"",'Salesforce Dump'!B240,"")</f>
        <v/>
      </c>
      <c r="D243" s="48"/>
      <c r="E243" s="50" t="str">
        <f>IF('Salesforce Dump'!C240&lt;&gt;"",'Salesforce Dump'!C240,"")</f>
        <v/>
      </c>
      <c r="F243" s="49" t="str">
        <f>IF('Salesforce Dump'!D240&lt;&gt;"",'Salesforce Dump'!D240,"")</f>
        <v/>
      </c>
      <c r="G243" s="49" t="str">
        <f>IF('Salesforce Dump'!E240&lt;&gt;"",'Salesforce Dump'!E240,"")</f>
        <v/>
      </c>
      <c r="H243" s="49" t="str">
        <f>IF('Salesforce Dump'!G240&lt;&gt;"",'Salesforce Dump'!G240,"")</f>
        <v/>
      </c>
      <c r="I243" s="49" t="str">
        <f>IF('Salesforce Dump'!H240&lt;&gt;"",'Salesforce Dump'!H240,"")</f>
        <v/>
      </c>
      <c r="J243" s="51" t="str">
        <f>IF('Salesforce Dump'!I240&lt;&gt;"",'Salesforce Dump'!I240,"")</f>
        <v/>
      </c>
      <c r="K243" s="51" t="str">
        <f>IF('Salesforce Dump'!J240&lt;&gt;"",'Salesforce Dump'!J240,"")</f>
        <v/>
      </c>
      <c r="L243" s="52" t="str">
        <f>IFERROR(INDEX('OBA Dump'!C:C,MATCH($E243*1,'OBA Dump'!$A:$A,0)),"")</f>
        <v/>
      </c>
      <c r="M243" s="52" t="str">
        <f>IFERROR(INDEX('OBA Dump'!D:D,MATCH($E243*1,'OBA Dump'!$A:$A,0)),"")</f>
        <v/>
      </c>
      <c r="N243" s="52"/>
      <c r="O243" s="52"/>
      <c r="P243" s="53"/>
      <c r="Q243" s="52"/>
      <c r="R243" s="38" t="str">
        <f>_xlfn.IFNA(VLOOKUP(E243,'Pre-Booked Holidays'!A:B,2,0),"")</f>
        <v/>
      </c>
      <c r="S243" s="38" t="str">
        <f>IF(E243="","",IF(IFERROR(VLOOKUP(E243,'Onbase Report'!D:E,2,0),"")&lt;&gt;"","Details in Onbase","No Details"))</f>
        <v/>
      </c>
      <c r="T243" s="38" t="str">
        <f>IF(LEFT('Salesforce Dump'!Q240,5)="BHX10",LEFT('Salesforce Dump'!Q240,5),LEFT('Salesforce Dump'!Q240,4))</f>
        <v/>
      </c>
      <c r="U243" s="38"/>
    </row>
    <row r="244" spans="1:21" ht="14.5" x14ac:dyDescent="0.35">
      <c r="A244" s="47" t="str">
        <f>IF('Salesforce Dump'!A241&lt;&gt;"",'Salesforce Dump'!A241,"")</f>
        <v/>
      </c>
      <c r="B244" s="48"/>
      <c r="C244" s="49" t="str">
        <f>IF('Salesforce Dump'!B241&lt;&gt;"",'Salesforce Dump'!B241,"")</f>
        <v/>
      </c>
      <c r="D244" s="48"/>
      <c r="E244" s="50" t="str">
        <f>IF('Salesforce Dump'!C241&lt;&gt;"",'Salesforce Dump'!C241,"")</f>
        <v/>
      </c>
      <c r="F244" s="49" t="str">
        <f>IF('Salesforce Dump'!D241&lt;&gt;"",'Salesforce Dump'!D241,"")</f>
        <v/>
      </c>
      <c r="G244" s="49" t="str">
        <f>IF('Salesforce Dump'!E241&lt;&gt;"",'Salesforce Dump'!E241,"")</f>
        <v/>
      </c>
      <c r="H244" s="49" t="str">
        <f>IF('Salesforce Dump'!G241&lt;&gt;"",'Salesforce Dump'!G241,"")</f>
        <v/>
      </c>
      <c r="I244" s="49" t="str">
        <f>IF('Salesforce Dump'!H241&lt;&gt;"",'Salesforce Dump'!H241,"")</f>
        <v/>
      </c>
      <c r="J244" s="51" t="str">
        <f>IF('Salesforce Dump'!I241&lt;&gt;"",'Salesforce Dump'!I241,"")</f>
        <v/>
      </c>
      <c r="K244" s="51" t="str">
        <f>IF('Salesforce Dump'!J241&lt;&gt;"",'Salesforce Dump'!J241,"")</f>
        <v/>
      </c>
      <c r="L244" s="52" t="str">
        <f>IFERROR(INDEX('OBA Dump'!C:C,MATCH($E244*1,'OBA Dump'!$A:$A,0)),"")</f>
        <v/>
      </c>
      <c r="M244" s="52" t="str">
        <f>IFERROR(INDEX('OBA Dump'!D:D,MATCH($E244*1,'OBA Dump'!$A:$A,0)),"")</f>
        <v/>
      </c>
      <c r="N244" s="52"/>
      <c r="O244" s="52"/>
      <c r="P244" s="53"/>
      <c r="Q244" s="52"/>
      <c r="R244" s="38" t="str">
        <f>_xlfn.IFNA(VLOOKUP(E244,'Pre-Booked Holidays'!A:B,2,0),"")</f>
        <v/>
      </c>
      <c r="S244" s="38" t="str">
        <f>IF(E244="","",IF(IFERROR(VLOOKUP(E244,'Onbase Report'!D:E,2,0),"")&lt;&gt;"","Details in Onbase","No Details"))</f>
        <v/>
      </c>
      <c r="T244" s="38" t="str">
        <f>IF(LEFT('Salesforce Dump'!Q241,5)="BHX10",LEFT('Salesforce Dump'!Q241,5),LEFT('Salesforce Dump'!Q241,4))</f>
        <v/>
      </c>
      <c r="U244" s="38"/>
    </row>
    <row r="245" spans="1:21" ht="14.5" x14ac:dyDescent="0.35">
      <c r="A245" s="47" t="str">
        <f>IF('Salesforce Dump'!A242&lt;&gt;"",'Salesforce Dump'!A242,"")</f>
        <v/>
      </c>
      <c r="B245" s="48"/>
      <c r="C245" s="49" t="str">
        <f>IF('Salesforce Dump'!B242&lt;&gt;"",'Salesforce Dump'!B242,"")</f>
        <v/>
      </c>
      <c r="D245" s="48"/>
      <c r="E245" s="50" t="str">
        <f>IF('Salesforce Dump'!C242&lt;&gt;"",'Salesforce Dump'!C242,"")</f>
        <v/>
      </c>
      <c r="F245" s="49" t="str">
        <f>IF('Salesforce Dump'!D242&lt;&gt;"",'Salesforce Dump'!D242,"")</f>
        <v/>
      </c>
      <c r="G245" s="49" t="str">
        <f>IF('Salesforce Dump'!E242&lt;&gt;"",'Salesforce Dump'!E242,"")</f>
        <v/>
      </c>
      <c r="H245" s="49" t="str">
        <f>IF('Salesforce Dump'!G242&lt;&gt;"",'Salesforce Dump'!G242,"")</f>
        <v/>
      </c>
      <c r="I245" s="49" t="str">
        <f>IF('Salesforce Dump'!H242&lt;&gt;"",'Salesforce Dump'!H242,"")</f>
        <v/>
      </c>
      <c r="J245" s="51" t="str">
        <f>IF('Salesforce Dump'!I242&lt;&gt;"",'Salesforce Dump'!I242,"")</f>
        <v/>
      </c>
      <c r="K245" s="51" t="str">
        <f>IF('Salesforce Dump'!J242&lt;&gt;"",'Salesforce Dump'!J242,"")</f>
        <v/>
      </c>
      <c r="L245" s="52" t="str">
        <f>IFERROR(INDEX('OBA Dump'!C:C,MATCH($E245*1,'OBA Dump'!$A:$A,0)),"")</f>
        <v/>
      </c>
      <c r="M245" s="52" t="str">
        <f>IFERROR(INDEX('OBA Dump'!D:D,MATCH($E245*1,'OBA Dump'!$A:$A,0)),"")</f>
        <v/>
      </c>
      <c r="N245" s="52"/>
      <c r="O245" s="52"/>
      <c r="P245" s="53"/>
      <c r="Q245" s="52"/>
      <c r="R245" s="38" t="str">
        <f>_xlfn.IFNA(VLOOKUP(E245,'Pre-Booked Holidays'!A:B,2,0),"")</f>
        <v/>
      </c>
      <c r="S245" s="38" t="str">
        <f>IF(E245="","",IF(IFERROR(VLOOKUP(E245,'Onbase Report'!D:E,2,0),"")&lt;&gt;"","Details in Onbase","No Details"))</f>
        <v/>
      </c>
      <c r="T245" s="38" t="str">
        <f>IF(LEFT('Salesforce Dump'!Q242,5)="BHX10",LEFT('Salesforce Dump'!Q242,5),LEFT('Salesforce Dump'!Q242,4))</f>
        <v/>
      </c>
      <c r="U245" s="38"/>
    </row>
    <row r="246" spans="1:21" ht="14.5" x14ac:dyDescent="0.35">
      <c r="A246" s="47" t="str">
        <f>IF('Salesforce Dump'!A243&lt;&gt;"",'Salesforce Dump'!A243,"")</f>
        <v/>
      </c>
      <c r="B246" s="48"/>
      <c r="C246" s="49" t="str">
        <f>IF('Salesforce Dump'!B243&lt;&gt;"",'Salesforce Dump'!B243,"")</f>
        <v/>
      </c>
      <c r="D246" s="48"/>
      <c r="E246" s="50" t="str">
        <f>IF('Salesforce Dump'!C243&lt;&gt;"",'Salesforce Dump'!C243,"")</f>
        <v/>
      </c>
      <c r="F246" s="49" t="str">
        <f>IF('Salesforce Dump'!D243&lt;&gt;"",'Salesforce Dump'!D243,"")</f>
        <v/>
      </c>
      <c r="G246" s="49" t="str">
        <f>IF('Salesforce Dump'!E243&lt;&gt;"",'Salesforce Dump'!E243,"")</f>
        <v/>
      </c>
      <c r="H246" s="49" t="str">
        <f>IF('Salesforce Dump'!G243&lt;&gt;"",'Salesforce Dump'!G243,"")</f>
        <v/>
      </c>
      <c r="I246" s="49" t="str">
        <f>IF('Salesforce Dump'!H243&lt;&gt;"",'Salesforce Dump'!H243,"")</f>
        <v/>
      </c>
      <c r="J246" s="51" t="str">
        <f>IF('Salesforce Dump'!I243&lt;&gt;"",'Salesforce Dump'!I243,"")</f>
        <v/>
      </c>
      <c r="K246" s="51" t="str">
        <f>IF('Salesforce Dump'!J243&lt;&gt;"",'Salesforce Dump'!J243,"")</f>
        <v/>
      </c>
      <c r="L246" s="52" t="str">
        <f>IFERROR(INDEX('OBA Dump'!C:C,MATCH($E246*1,'OBA Dump'!$A:$A,0)),"")</f>
        <v/>
      </c>
      <c r="M246" s="52" t="str">
        <f>IFERROR(INDEX('OBA Dump'!D:D,MATCH($E246*1,'OBA Dump'!$A:$A,0)),"")</f>
        <v/>
      </c>
      <c r="N246" s="52"/>
      <c r="O246" s="52"/>
      <c r="P246" s="53"/>
      <c r="Q246" s="52"/>
      <c r="R246" s="38" t="str">
        <f>_xlfn.IFNA(VLOOKUP(E246,'Pre-Booked Holidays'!A:B,2,0),"")</f>
        <v/>
      </c>
      <c r="S246" s="38" t="str">
        <f>IF(E246="","",IF(IFERROR(VLOOKUP(E246,'Onbase Report'!D:E,2,0),"")&lt;&gt;"","Details in Onbase","No Details"))</f>
        <v/>
      </c>
      <c r="T246" s="38" t="str">
        <f>IF(LEFT('Salesforce Dump'!Q243,5)="BHX10",LEFT('Salesforce Dump'!Q243,5),LEFT('Salesforce Dump'!Q243,4))</f>
        <v/>
      </c>
      <c r="U246" s="38"/>
    </row>
    <row r="247" spans="1:21" ht="14.5" x14ac:dyDescent="0.35">
      <c r="A247" s="47" t="str">
        <f>IF('Salesforce Dump'!A244&lt;&gt;"",'Salesforce Dump'!A244,"")</f>
        <v/>
      </c>
      <c r="B247" s="48"/>
      <c r="C247" s="49" t="str">
        <f>IF('Salesforce Dump'!B244&lt;&gt;"",'Salesforce Dump'!B244,"")</f>
        <v/>
      </c>
      <c r="D247" s="48"/>
      <c r="E247" s="50" t="str">
        <f>IF('Salesforce Dump'!C244&lt;&gt;"",'Salesforce Dump'!C244,"")</f>
        <v/>
      </c>
      <c r="F247" s="49" t="str">
        <f>IF('Salesforce Dump'!D244&lt;&gt;"",'Salesforce Dump'!D244,"")</f>
        <v/>
      </c>
      <c r="G247" s="49" t="str">
        <f>IF('Salesforce Dump'!E244&lt;&gt;"",'Salesforce Dump'!E244,"")</f>
        <v/>
      </c>
      <c r="H247" s="49" t="str">
        <f>IF('Salesforce Dump'!G244&lt;&gt;"",'Salesforce Dump'!G244,"")</f>
        <v/>
      </c>
      <c r="I247" s="49" t="str">
        <f>IF('Salesforce Dump'!H244&lt;&gt;"",'Salesforce Dump'!H244,"")</f>
        <v/>
      </c>
      <c r="J247" s="51" t="str">
        <f>IF('Salesforce Dump'!I244&lt;&gt;"",'Salesforce Dump'!I244,"")</f>
        <v/>
      </c>
      <c r="K247" s="51" t="str">
        <f>IF('Salesforce Dump'!J244&lt;&gt;"",'Salesforce Dump'!J244,"")</f>
        <v/>
      </c>
      <c r="L247" s="52" t="str">
        <f>IFERROR(INDEX('OBA Dump'!C:C,MATCH($E247*1,'OBA Dump'!$A:$A,0)),"")</f>
        <v/>
      </c>
      <c r="M247" s="52" t="str">
        <f>IFERROR(INDEX('OBA Dump'!D:D,MATCH($E247*1,'OBA Dump'!$A:$A,0)),"")</f>
        <v/>
      </c>
      <c r="N247" s="52"/>
      <c r="O247" s="52"/>
      <c r="P247" s="53"/>
      <c r="Q247" s="52"/>
      <c r="R247" s="38" t="str">
        <f>_xlfn.IFNA(VLOOKUP(E247,'Pre-Booked Holidays'!A:B,2,0),"")</f>
        <v/>
      </c>
      <c r="S247" s="38" t="str">
        <f>IF(E247="","",IF(IFERROR(VLOOKUP(E247,'Onbase Report'!D:E,2,0),"")&lt;&gt;"","Details in Onbase","No Details"))</f>
        <v/>
      </c>
      <c r="T247" s="38" t="str">
        <f>IF(LEFT('Salesforce Dump'!Q244,5)="BHX10",LEFT('Salesforce Dump'!Q244,5),LEFT('Salesforce Dump'!Q244,4))</f>
        <v/>
      </c>
      <c r="U247" s="38"/>
    </row>
    <row r="248" spans="1:21" ht="14.5" x14ac:dyDescent="0.35">
      <c r="A248" s="47" t="str">
        <f>IF('Salesforce Dump'!A245&lt;&gt;"",'Salesforce Dump'!A245,"")</f>
        <v/>
      </c>
      <c r="B248" s="48"/>
      <c r="C248" s="49" t="str">
        <f>IF('Salesforce Dump'!B245&lt;&gt;"",'Salesforce Dump'!B245,"")</f>
        <v/>
      </c>
      <c r="D248" s="48"/>
      <c r="E248" s="50" t="str">
        <f>IF('Salesforce Dump'!C245&lt;&gt;"",'Salesforce Dump'!C245,"")</f>
        <v/>
      </c>
      <c r="F248" s="49" t="str">
        <f>IF('Salesforce Dump'!D245&lt;&gt;"",'Salesforce Dump'!D245,"")</f>
        <v/>
      </c>
      <c r="G248" s="49" t="str">
        <f>IF('Salesforce Dump'!E245&lt;&gt;"",'Salesforce Dump'!E245,"")</f>
        <v/>
      </c>
      <c r="H248" s="49" t="str">
        <f>IF('Salesforce Dump'!G245&lt;&gt;"",'Salesforce Dump'!G245,"")</f>
        <v/>
      </c>
      <c r="I248" s="49" t="str">
        <f>IF('Salesforce Dump'!H245&lt;&gt;"",'Salesforce Dump'!H245,"")</f>
        <v/>
      </c>
      <c r="J248" s="51" t="str">
        <f>IF('Salesforce Dump'!I245&lt;&gt;"",'Salesforce Dump'!I245,"")</f>
        <v/>
      </c>
      <c r="K248" s="51" t="str">
        <f>IF('Salesforce Dump'!J245&lt;&gt;"",'Salesforce Dump'!J245,"")</f>
        <v/>
      </c>
      <c r="L248" s="52" t="str">
        <f>IFERROR(INDEX('OBA Dump'!C:C,MATCH($E248*1,'OBA Dump'!$A:$A,0)),"")</f>
        <v/>
      </c>
      <c r="M248" s="52" t="str">
        <f>IFERROR(INDEX('OBA Dump'!D:D,MATCH($E248*1,'OBA Dump'!$A:$A,0)),"")</f>
        <v/>
      </c>
      <c r="N248" s="52"/>
      <c r="O248" s="52"/>
      <c r="P248" s="53"/>
      <c r="Q248" s="52"/>
      <c r="R248" s="38" t="str">
        <f>_xlfn.IFNA(VLOOKUP(E248,'Pre-Booked Holidays'!A:B,2,0),"")</f>
        <v/>
      </c>
      <c r="S248" s="38" t="str">
        <f>IF(E248="","",IF(IFERROR(VLOOKUP(E248,'Onbase Report'!D:E,2,0),"")&lt;&gt;"","Details in Onbase","No Details"))</f>
        <v/>
      </c>
      <c r="T248" s="38" t="str">
        <f>IF(LEFT('Salesforce Dump'!Q245,5)="BHX10",LEFT('Salesforce Dump'!Q245,5),LEFT('Salesforce Dump'!Q245,4))</f>
        <v/>
      </c>
      <c r="U248" s="38"/>
    </row>
    <row r="249" spans="1:21" ht="14.5" x14ac:dyDescent="0.35">
      <c r="A249" s="47" t="str">
        <f>IF('Salesforce Dump'!A246&lt;&gt;"",'Salesforce Dump'!A246,"")</f>
        <v/>
      </c>
      <c r="B249" s="48"/>
      <c r="C249" s="49" t="str">
        <f>IF('Salesforce Dump'!B246&lt;&gt;"",'Salesforce Dump'!B246,"")</f>
        <v/>
      </c>
      <c r="D249" s="48"/>
      <c r="E249" s="50" t="str">
        <f>IF('Salesforce Dump'!C246&lt;&gt;"",'Salesforce Dump'!C246,"")</f>
        <v/>
      </c>
      <c r="F249" s="49" t="str">
        <f>IF('Salesforce Dump'!D246&lt;&gt;"",'Salesforce Dump'!D246,"")</f>
        <v/>
      </c>
      <c r="G249" s="49" t="str">
        <f>IF('Salesforce Dump'!E246&lt;&gt;"",'Salesforce Dump'!E246,"")</f>
        <v/>
      </c>
      <c r="H249" s="49" t="str">
        <f>IF('Salesforce Dump'!G246&lt;&gt;"",'Salesforce Dump'!G246,"")</f>
        <v/>
      </c>
      <c r="I249" s="49" t="str">
        <f>IF('Salesforce Dump'!H246&lt;&gt;"",'Salesforce Dump'!H246,"")</f>
        <v/>
      </c>
      <c r="J249" s="51" t="str">
        <f>IF('Salesforce Dump'!I246&lt;&gt;"",'Salesforce Dump'!I246,"")</f>
        <v/>
      </c>
      <c r="K249" s="51" t="str">
        <f>IF('Salesforce Dump'!J246&lt;&gt;"",'Salesforce Dump'!J246,"")</f>
        <v/>
      </c>
      <c r="L249" s="52" t="str">
        <f>IFERROR(INDEX('OBA Dump'!C:C,MATCH($E249*1,'OBA Dump'!$A:$A,0)),"")</f>
        <v/>
      </c>
      <c r="M249" s="52" t="str">
        <f>IFERROR(INDEX('OBA Dump'!D:D,MATCH($E249*1,'OBA Dump'!$A:$A,0)),"")</f>
        <v/>
      </c>
      <c r="N249" s="52"/>
      <c r="O249" s="52"/>
      <c r="P249" s="53"/>
      <c r="Q249" s="52"/>
      <c r="R249" s="38" t="str">
        <f>_xlfn.IFNA(VLOOKUP(E249,'Pre-Booked Holidays'!A:B,2,0),"")</f>
        <v/>
      </c>
      <c r="S249" s="38" t="str">
        <f>IF(E249="","",IF(IFERROR(VLOOKUP(E249,'Onbase Report'!D:E,2,0),"")&lt;&gt;"","Details in Onbase","No Details"))</f>
        <v/>
      </c>
      <c r="T249" s="38" t="str">
        <f>IF(LEFT('Salesforce Dump'!Q246,5)="BHX10",LEFT('Salesforce Dump'!Q246,5),LEFT('Salesforce Dump'!Q246,4))</f>
        <v/>
      </c>
      <c r="U249" s="38"/>
    </row>
    <row r="250" spans="1:21" ht="14.5" x14ac:dyDescent="0.35">
      <c r="A250" s="47" t="str">
        <f>IF('Salesforce Dump'!A247&lt;&gt;"",'Salesforce Dump'!A247,"")</f>
        <v/>
      </c>
      <c r="B250" s="48"/>
      <c r="C250" s="49" t="str">
        <f>IF('Salesforce Dump'!B247&lt;&gt;"",'Salesforce Dump'!B247,"")</f>
        <v/>
      </c>
      <c r="D250" s="48"/>
      <c r="E250" s="50" t="str">
        <f>IF('Salesforce Dump'!C247&lt;&gt;"",'Salesforce Dump'!C247,"")</f>
        <v/>
      </c>
      <c r="F250" s="49" t="str">
        <f>IF('Salesforce Dump'!D247&lt;&gt;"",'Salesforce Dump'!D247,"")</f>
        <v/>
      </c>
      <c r="G250" s="49" t="str">
        <f>IF('Salesforce Dump'!E247&lt;&gt;"",'Salesforce Dump'!E247,"")</f>
        <v/>
      </c>
      <c r="H250" s="49" t="str">
        <f>IF('Salesforce Dump'!G247&lt;&gt;"",'Salesforce Dump'!G247,"")</f>
        <v/>
      </c>
      <c r="I250" s="49" t="str">
        <f>IF('Salesforce Dump'!H247&lt;&gt;"",'Salesforce Dump'!H247,"")</f>
        <v/>
      </c>
      <c r="J250" s="51" t="str">
        <f>IF('Salesforce Dump'!I247&lt;&gt;"",'Salesforce Dump'!I247,"")</f>
        <v/>
      </c>
      <c r="K250" s="51" t="str">
        <f>IF('Salesforce Dump'!J247&lt;&gt;"",'Salesforce Dump'!J247,"")</f>
        <v/>
      </c>
      <c r="L250" s="52" t="str">
        <f>IFERROR(INDEX('OBA Dump'!C:C,MATCH($E250*1,'OBA Dump'!$A:$A,0)),"")</f>
        <v/>
      </c>
      <c r="M250" s="52" t="str">
        <f>IFERROR(INDEX('OBA Dump'!D:D,MATCH($E250*1,'OBA Dump'!$A:$A,0)),"")</f>
        <v/>
      </c>
      <c r="N250" s="52"/>
      <c r="O250" s="52"/>
      <c r="P250" s="53"/>
      <c r="Q250" s="52"/>
      <c r="R250" s="38" t="str">
        <f>_xlfn.IFNA(VLOOKUP(E250,'Pre-Booked Holidays'!A:B,2,0),"")</f>
        <v/>
      </c>
      <c r="S250" s="38" t="str">
        <f>IF(E250="","",IF(IFERROR(VLOOKUP(E250,'Onbase Report'!D:E,2,0),"")&lt;&gt;"","Details in Onbase","No Details"))</f>
        <v/>
      </c>
      <c r="T250" s="38" t="str">
        <f>IF(LEFT('Salesforce Dump'!Q247,5)="BHX10",LEFT('Salesforce Dump'!Q247,5),LEFT('Salesforce Dump'!Q247,4))</f>
        <v/>
      </c>
      <c r="U250" s="38"/>
    </row>
    <row r="251" spans="1:21" ht="14.5" x14ac:dyDescent="0.35">
      <c r="A251" s="47" t="str">
        <f>IF('Salesforce Dump'!A248&lt;&gt;"",'Salesforce Dump'!A248,"")</f>
        <v/>
      </c>
      <c r="B251" s="48"/>
      <c r="C251" s="49" t="str">
        <f>IF('Salesforce Dump'!B248&lt;&gt;"",'Salesforce Dump'!B248,"")</f>
        <v/>
      </c>
      <c r="D251" s="48"/>
      <c r="E251" s="50" t="str">
        <f>IF('Salesforce Dump'!C248&lt;&gt;"",'Salesforce Dump'!C248,"")</f>
        <v/>
      </c>
      <c r="F251" s="49" t="str">
        <f>IF('Salesforce Dump'!D248&lt;&gt;"",'Salesforce Dump'!D248,"")</f>
        <v/>
      </c>
      <c r="G251" s="49" t="str">
        <f>IF('Salesforce Dump'!E248&lt;&gt;"",'Salesforce Dump'!E248,"")</f>
        <v/>
      </c>
      <c r="H251" s="49" t="str">
        <f>IF('Salesforce Dump'!G248&lt;&gt;"",'Salesforce Dump'!G248,"")</f>
        <v/>
      </c>
      <c r="I251" s="49" t="str">
        <f>IF('Salesforce Dump'!H248&lt;&gt;"",'Salesforce Dump'!H248,"")</f>
        <v/>
      </c>
      <c r="J251" s="51" t="str">
        <f>IF('Salesforce Dump'!I248&lt;&gt;"",'Salesforce Dump'!I248,"")</f>
        <v/>
      </c>
      <c r="K251" s="51" t="str">
        <f>IF('Salesforce Dump'!J248&lt;&gt;"",'Salesforce Dump'!J248,"")</f>
        <v/>
      </c>
      <c r="L251" s="52" t="str">
        <f>IFERROR(INDEX('OBA Dump'!C:C,MATCH($E251*1,'OBA Dump'!$A:$A,0)),"")</f>
        <v/>
      </c>
      <c r="M251" s="52" t="str">
        <f>IFERROR(INDEX('OBA Dump'!D:D,MATCH($E251*1,'OBA Dump'!$A:$A,0)),"")</f>
        <v/>
      </c>
      <c r="N251" s="52"/>
      <c r="O251" s="52"/>
      <c r="P251" s="53"/>
      <c r="Q251" s="52"/>
      <c r="R251" s="38" t="str">
        <f>_xlfn.IFNA(VLOOKUP(E251,'Pre-Booked Holidays'!A:B,2,0),"")</f>
        <v/>
      </c>
      <c r="S251" s="38" t="str">
        <f>IF(E251="","",IF(IFERROR(VLOOKUP(E251,'Onbase Report'!D:E,2,0),"")&lt;&gt;"","Details in Onbase","No Details"))</f>
        <v/>
      </c>
      <c r="T251" s="38" t="str">
        <f>IF(LEFT('Salesforce Dump'!Q248,5)="BHX10",LEFT('Salesforce Dump'!Q248,5),LEFT('Salesforce Dump'!Q248,4))</f>
        <v/>
      </c>
      <c r="U251" s="38"/>
    </row>
    <row r="252" spans="1:21" ht="14.5" x14ac:dyDescent="0.35">
      <c r="A252" s="47" t="str">
        <f>IF('Salesforce Dump'!A249&lt;&gt;"",'Salesforce Dump'!A249,"")</f>
        <v/>
      </c>
      <c r="B252" s="48"/>
      <c r="C252" s="49" t="str">
        <f>IF('Salesforce Dump'!B249&lt;&gt;"",'Salesforce Dump'!B249,"")</f>
        <v/>
      </c>
      <c r="D252" s="48"/>
      <c r="E252" s="50" t="str">
        <f>IF('Salesforce Dump'!C249&lt;&gt;"",'Salesforce Dump'!C249,"")</f>
        <v/>
      </c>
      <c r="F252" s="49" t="str">
        <f>IF('Salesforce Dump'!D249&lt;&gt;"",'Salesforce Dump'!D249,"")</f>
        <v/>
      </c>
      <c r="G252" s="49" t="str">
        <f>IF('Salesforce Dump'!E249&lt;&gt;"",'Salesforce Dump'!E249,"")</f>
        <v/>
      </c>
      <c r="H252" s="49" t="str">
        <f>IF('Salesforce Dump'!G249&lt;&gt;"",'Salesforce Dump'!G249,"")</f>
        <v/>
      </c>
      <c r="I252" s="49" t="str">
        <f>IF('Salesforce Dump'!H249&lt;&gt;"",'Salesforce Dump'!H249,"")</f>
        <v/>
      </c>
      <c r="J252" s="51" t="str">
        <f>IF('Salesforce Dump'!I249&lt;&gt;"",'Salesforce Dump'!I249,"")</f>
        <v/>
      </c>
      <c r="K252" s="51" t="str">
        <f>IF('Salesforce Dump'!J249&lt;&gt;"",'Salesforce Dump'!J249,"")</f>
        <v/>
      </c>
      <c r="L252" s="52" t="str">
        <f>IFERROR(INDEX('OBA Dump'!C:C,MATCH($E252*1,'OBA Dump'!$A:$A,0)),"")</f>
        <v/>
      </c>
      <c r="M252" s="52" t="str">
        <f>IFERROR(INDEX('OBA Dump'!D:D,MATCH($E252*1,'OBA Dump'!$A:$A,0)),"")</f>
        <v/>
      </c>
      <c r="N252" s="52"/>
      <c r="O252" s="52"/>
      <c r="P252" s="53"/>
      <c r="Q252" s="52"/>
      <c r="R252" s="38" t="str">
        <f>_xlfn.IFNA(VLOOKUP(E252,'Pre-Booked Holidays'!A:B,2,0),"")</f>
        <v/>
      </c>
      <c r="S252" s="38" t="str">
        <f>IF(E252="","",IF(IFERROR(VLOOKUP(E252,'Onbase Report'!D:E,2,0),"")&lt;&gt;"","Details in Onbase","No Details"))</f>
        <v/>
      </c>
      <c r="T252" s="38" t="str">
        <f>IF(LEFT('Salesforce Dump'!Q249,5)="BHX10",LEFT('Salesforce Dump'!Q249,5),LEFT('Salesforce Dump'!Q249,4))</f>
        <v/>
      </c>
      <c r="U252" s="38"/>
    </row>
    <row r="253" spans="1:21" ht="14.5" x14ac:dyDescent="0.35">
      <c r="A253" s="47" t="str">
        <f>IF('Salesforce Dump'!A250&lt;&gt;"",'Salesforce Dump'!A250,"")</f>
        <v/>
      </c>
      <c r="B253" s="48"/>
      <c r="C253" s="49" t="str">
        <f>IF('Salesforce Dump'!B250&lt;&gt;"",'Salesforce Dump'!B250,"")</f>
        <v/>
      </c>
      <c r="D253" s="48"/>
      <c r="E253" s="50" t="str">
        <f>IF('Salesforce Dump'!C250&lt;&gt;"",'Salesforce Dump'!C250,"")</f>
        <v/>
      </c>
      <c r="F253" s="49" t="str">
        <f>IF('Salesforce Dump'!D250&lt;&gt;"",'Salesforce Dump'!D250,"")</f>
        <v/>
      </c>
      <c r="G253" s="49" t="str">
        <f>IF('Salesforce Dump'!E250&lt;&gt;"",'Salesforce Dump'!E250,"")</f>
        <v/>
      </c>
      <c r="H253" s="49" t="str">
        <f>IF('Salesforce Dump'!G250&lt;&gt;"",'Salesforce Dump'!G250,"")</f>
        <v/>
      </c>
      <c r="I253" s="49" t="str">
        <f>IF('Salesforce Dump'!H250&lt;&gt;"",'Salesforce Dump'!H250,"")</f>
        <v/>
      </c>
      <c r="J253" s="51" t="str">
        <f>IF('Salesforce Dump'!I250&lt;&gt;"",'Salesforce Dump'!I250,"")</f>
        <v/>
      </c>
      <c r="K253" s="51" t="str">
        <f>IF('Salesforce Dump'!J250&lt;&gt;"",'Salesforce Dump'!J250,"")</f>
        <v/>
      </c>
      <c r="L253" s="52" t="str">
        <f>IFERROR(INDEX('OBA Dump'!C:C,MATCH($E253*1,'OBA Dump'!$A:$A,0)),"")</f>
        <v/>
      </c>
      <c r="M253" s="52" t="str">
        <f>IFERROR(INDEX('OBA Dump'!D:D,MATCH($E253*1,'OBA Dump'!$A:$A,0)),"")</f>
        <v/>
      </c>
      <c r="N253" s="52"/>
      <c r="O253" s="52"/>
      <c r="P253" s="53"/>
      <c r="Q253" s="52"/>
      <c r="R253" s="38" t="str">
        <f>_xlfn.IFNA(VLOOKUP(E253,'Pre-Booked Holidays'!A:B,2,0),"")</f>
        <v/>
      </c>
      <c r="S253" s="38" t="str">
        <f>IF(E253="","",IF(IFERROR(VLOOKUP(E253,'Onbase Report'!D:E,2,0),"")&lt;&gt;"","Details in Onbase","No Details"))</f>
        <v/>
      </c>
      <c r="T253" s="38" t="str">
        <f>IF(LEFT('Salesforce Dump'!Q250,5)="BHX10",LEFT('Salesforce Dump'!Q250,5),LEFT('Salesforce Dump'!Q250,4))</f>
        <v/>
      </c>
      <c r="U253" s="38"/>
    </row>
    <row r="254" spans="1:21" ht="14.5" x14ac:dyDescent="0.35">
      <c r="A254" s="47" t="str">
        <f>IF('Salesforce Dump'!A251&lt;&gt;"",'Salesforce Dump'!A251,"")</f>
        <v/>
      </c>
      <c r="B254" s="48"/>
      <c r="C254" s="49" t="str">
        <f>IF('Salesforce Dump'!B251&lt;&gt;"",'Salesforce Dump'!B251,"")</f>
        <v/>
      </c>
      <c r="D254" s="48"/>
      <c r="E254" s="50" t="str">
        <f>IF('Salesforce Dump'!C251&lt;&gt;"",'Salesforce Dump'!C251,"")</f>
        <v/>
      </c>
      <c r="F254" s="49" t="str">
        <f>IF('Salesforce Dump'!D251&lt;&gt;"",'Salesforce Dump'!D251,"")</f>
        <v/>
      </c>
      <c r="G254" s="49" t="str">
        <f>IF('Salesforce Dump'!E251&lt;&gt;"",'Salesforce Dump'!E251,"")</f>
        <v/>
      </c>
      <c r="H254" s="49" t="str">
        <f>IF('Salesforce Dump'!G251&lt;&gt;"",'Salesforce Dump'!G251,"")</f>
        <v/>
      </c>
      <c r="I254" s="49" t="str">
        <f>IF('Salesforce Dump'!H251&lt;&gt;"",'Salesforce Dump'!H251,"")</f>
        <v/>
      </c>
      <c r="J254" s="51" t="str">
        <f>IF('Salesforce Dump'!I251&lt;&gt;"",'Salesforce Dump'!I251,"")</f>
        <v/>
      </c>
      <c r="K254" s="51" t="str">
        <f>IF('Salesforce Dump'!J251&lt;&gt;"",'Salesforce Dump'!J251,"")</f>
        <v/>
      </c>
      <c r="L254" s="52" t="str">
        <f>IFERROR(INDEX('OBA Dump'!C:C,MATCH($E254*1,'OBA Dump'!$A:$A,0)),"")</f>
        <v/>
      </c>
      <c r="M254" s="52" t="str">
        <f>IFERROR(INDEX('OBA Dump'!D:D,MATCH($E254*1,'OBA Dump'!$A:$A,0)),"")</f>
        <v/>
      </c>
      <c r="N254" s="52"/>
      <c r="O254" s="52"/>
      <c r="P254" s="53"/>
      <c r="Q254" s="52"/>
      <c r="R254" s="38" t="str">
        <f>_xlfn.IFNA(VLOOKUP(E254,'Pre-Booked Holidays'!A:B,2,0),"")</f>
        <v/>
      </c>
      <c r="S254" s="38" t="str">
        <f>IF(E254="","",IF(IFERROR(VLOOKUP(E254,'Onbase Report'!D:E,2,0),"")&lt;&gt;"","Details in Onbase","No Details"))</f>
        <v/>
      </c>
      <c r="T254" s="38" t="str">
        <f>IF(LEFT('Salesforce Dump'!Q251,5)="BHX10",LEFT('Salesforce Dump'!Q251,5),LEFT('Salesforce Dump'!Q251,4))</f>
        <v/>
      </c>
      <c r="U254" s="38"/>
    </row>
    <row r="255" spans="1:21" ht="14.5" x14ac:dyDescent="0.35">
      <c r="A255" s="47" t="str">
        <f>IF('Salesforce Dump'!A252&lt;&gt;"",'Salesforce Dump'!A252,"")</f>
        <v/>
      </c>
      <c r="B255" s="48"/>
      <c r="C255" s="49" t="str">
        <f>IF('Salesforce Dump'!B252&lt;&gt;"",'Salesforce Dump'!B252,"")</f>
        <v/>
      </c>
      <c r="D255" s="48"/>
      <c r="E255" s="50" t="str">
        <f>IF('Salesforce Dump'!C252&lt;&gt;"",'Salesforce Dump'!C252,"")</f>
        <v/>
      </c>
      <c r="F255" s="49" t="str">
        <f>IF('Salesforce Dump'!D252&lt;&gt;"",'Salesforce Dump'!D252,"")</f>
        <v/>
      </c>
      <c r="G255" s="49" t="str">
        <f>IF('Salesforce Dump'!E252&lt;&gt;"",'Salesforce Dump'!E252,"")</f>
        <v/>
      </c>
      <c r="H255" s="49" t="str">
        <f>IF('Salesforce Dump'!G252&lt;&gt;"",'Salesforce Dump'!G252,"")</f>
        <v/>
      </c>
      <c r="I255" s="49" t="str">
        <f>IF('Salesforce Dump'!H252&lt;&gt;"",'Salesforce Dump'!H252,"")</f>
        <v/>
      </c>
      <c r="J255" s="51" t="str">
        <f>IF('Salesforce Dump'!I252&lt;&gt;"",'Salesforce Dump'!I252,"")</f>
        <v/>
      </c>
      <c r="K255" s="51" t="str">
        <f>IF('Salesforce Dump'!J252&lt;&gt;"",'Salesforce Dump'!J252,"")</f>
        <v/>
      </c>
      <c r="L255" s="52" t="str">
        <f>IFERROR(INDEX('OBA Dump'!C:C,MATCH($E255*1,'OBA Dump'!$A:$A,0)),"")</f>
        <v/>
      </c>
      <c r="M255" s="52" t="str">
        <f>IFERROR(INDEX('OBA Dump'!D:D,MATCH($E255*1,'OBA Dump'!$A:$A,0)),"")</f>
        <v/>
      </c>
      <c r="N255" s="52"/>
      <c r="O255" s="52"/>
      <c r="P255" s="53"/>
      <c r="Q255" s="52"/>
      <c r="R255" s="38" t="str">
        <f>_xlfn.IFNA(VLOOKUP(E255,'Pre-Booked Holidays'!A:B,2,0),"")</f>
        <v/>
      </c>
      <c r="S255" s="38" t="str">
        <f>IF(E255="","",IF(IFERROR(VLOOKUP(E255,'Onbase Report'!D:E,2,0),"")&lt;&gt;"","Details in Onbase","No Details"))</f>
        <v/>
      </c>
      <c r="T255" s="38" t="str">
        <f>IF(LEFT('Salesforce Dump'!Q252,5)="BHX10",LEFT('Salesforce Dump'!Q252,5),LEFT('Salesforce Dump'!Q252,4))</f>
        <v/>
      </c>
      <c r="U255" s="38"/>
    </row>
    <row r="256" spans="1:21" ht="14.5" x14ac:dyDescent="0.35">
      <c r="A256" s="47" t="str">
        <f>IF('Salesforce Dump'!A253&lt;&gt;"",'Salesforce Dump'!A253,"")</f>
        <v/>
      </c>
      <c r="B256" s="48"/>
      <c r="C256" s="49" t="str">
        <f>IF('Salesforce Dump'!B253&lt;&gt;"",'Salesforce Dump'!B253,"")</f>
        <v/>
      </c>
      <c r="D256" s="48"/>
      <c r="E256" s="50" t="str">
        <f>IF('Salesforce Dump'!C253&lt;&gt;"",'Salesforce Dump'!C253,"")</f>
        <v/>
      </c>
      <c r="F256" s="49" t="str">
        <f>IF('Salesforce Dump'!D253&lt;&gt;"",'Salesforce Dump'!D253,"")</f>
        <v/>
      </c>
      <c r="G256" s="49" t="str">
        <f>IF('Salesforce Dump'!E253&lt;&gt;"",'Salesforce Dump'!E253,"")</f>
        <v/>
      </c>
      <c r="H256" s="49" t="str">
        <f>IF('Salesforce Dump'!G253&lt;&gt;"",'Salesforce Dump'!G253,"")</f>
        <v/>
      </c>
      <c r="I256" s="49" t="str">
        <f>IF('Salesforce Dump'!H253&lt;&gt;"",'Salesforce Dump'!H253,"")</f>
        <v/>
      </c>
      <c r="J256" s="51" t="str">
        <f>IF('Salesforce Dump'!I253&lt;&gt;"",'Salesforce Dump'!I253,"")</f>
        <v/>
      </c>
      <c r="K256" s="51" t="str">
        <f>IF('Salesforce Dump'!J253&lt;&gt;"",'Salesforce Dump'!J253,"")</f>
        <v/>
      </c>
      <c r="L256" s="52" t="str">
        <f>IFERROR(INDEX('OBA Dump'!C:C,MATCH($E256*1,'OBA Dump'!$A:$A,0)),"")</f>
        <v/>
      </c>
      <c r="M256" s="52" t="str">
        <f>IFERROR(INDEX('OBA Dump'!D:D,MATCH($E256*1,'OBA Dump'!$A:$A,0)),"")</f>
        <v/>
      </c>
      <c r="N256" s="52"/>
      <c r="O256" s="52"/>
      <c r="P256" s="53"/>
      <c r="Q256" s="52"/>
      <c r="R256" s="38" t="str">
        <f>_xlfn.IFNA(VLOOKUP(E256,'Pre-Booked Holidays'!A:B,2,0),"")</f>
        <v/>
      </c>
      <c r="S256" s="38" t="str">
        <f>IF(E256="","",IF(IFERROR(VLOOKUP(E256,'Onbase Report'!D:E,2,0),"")&lt;&gt;"","Details in Onbase","No Details"))</f>
        <v/>
      </c>
      <c r="T256" s="38" t="str">
        <f>IF(LEFT('Salesforce Dump'!Q253,5)="BHX10",LEFT('Salesforce Dump'!Q253,5),LEFT('Salesforce Dump'!Q253,4))</f>
        <v/>
      </c>
      <c r="U256" s="38"/>
    </row>
    <row r="257" spans="1:21" ht="14.5" x14ac:dyDescent="0.35">
      <c r="A257" s="47" t="str">
        <f>IF('Salesforce Dump'!A254&lt;&gt;"",'Salesforce Dump'!A254,"")</f>
        <v/>
      </c>
      <c r="B257" s="48"/>
      <c r="C257" s="49" t="str">
        <f>IF('Salesforce Dump'!B254&lt;&gt;"",'Salesforce Dump'!B254,"")</f>
        <v/>
      </c>
      <c r="D257" s="48"/>
      <c r="E257" s="50" t="str">
        <f>IF('Salesforce Dump'!C254&lt;&gt;"",'Salesforce Dump'!C254,"")</f>
        <v/>
      </c>
      <c r="F257" s="49" t="str">
        <f>IF('Salesforce Dump'!D254&lt;&gt;"",'Salesforce Dump'!D254,"")</f>
        <v/>
      </c>
      <c r="G257" s="49" t="str">
        <f>IF('Salesforce Dump'!E254&lt;&gt;"",'Salesforce Dump'!E254,"")</f>
        <v/>
      </c>
      <c r="H257" s="49" t="str">
        <f>IF('Salesforce Dump'!G254&lt;&gt;"",'Salesforce Dump'!G254,"")</f>
        <v/>
      </c>
      <c r="I257" s="49" t="str">
        <f>IF('Salesforce Dump'!H254&lt;&gt;"",'Salesforce Dump'!H254,"")</f>
        <v/>
      </c>
      <c r="J257" s="51" t="str">
        <f>IF('Salesforce Dump'!I254&lt;&gt;"",'Salesforce Dump'!I254,"")</f>
        <v/>
      </c>
      <c r="K257" s="51" t="str">
        <f>IF('Salesforce Dump'!J254&lt;&gt;"",'Salesforce Dump'!J254,"")</f>
        <v/>
      </c>
      <c r="L257" s="52" t="str">
        <f>IFERROR(INDEX('OBA Dump'!C:C,MATCH($E257*1,'OBA Dump'!$A:$A,0)),"")</f>
        <v/>
      </c>
      <c r="M257" s="52" t="str">
        <f>IFERROR(INDEX('OBA Dump'!D:D,MATCH($E257*1,'OBA Dump'!$A:$A,0)),"")</f>
        <v/>
      </c>
      <c r="N257" s="52"/>
      <c r="O257" s="52"/>
      <c r="P257" s="53"/>
      <c r="Q257" s="52"/>
      <c r="R257" s="38" t="str">
        <f>_xlfn.IFNA(VLOOKUP(E257,'Pre-Booked Holidays'!A:B,2,0),"")</f>
        <v/>
      </c>
      <c r="S257" s="38" t="str">
        <f>IF(E257="","",IF(IFERROR(VLOOKUP(E257,'Onbase Report'!D:E,2,0),"")&lt;&gt;"","Details in Onbase","No Details"))</f>
        <v/>
      </c>
      <c r="T257" s="38" t="str">
        <f>IF(LEFT('Salesforce Dump'!Q254,5)="BHX10",LEFT('Salesforce Dump'!Q254,5),LEFT('Salesforce Dump'!Q254,4))</f>
        <v/>
      </c>
      <c r="U257" s="38"/>
    </row>
    <row r="258" spans="1:21" ht="14.5" x14ac:dyDescent="0.35">
      <c r="A258" s="47" t="str">
        <f>IF('Salesforce Dump'!A255&lt;&gt;"",'Salesforce Dump'!A255,"")</f>
        <v/>
      </c>
      <c r="B258" s="48"/>
      <c r="C258" s="49" t="str">
        <f>IF('Salesforce Dump'!B255&lt;&gt;"",'Salesforce Dump'!B255,"")</f>
        <v/>
      </c>
      <c r="D258" s="48"/>
      <c r="E258" s="50" t="str">
        <f>IF('Salesforce Dump'!C255&lt;&gt;"",'Salesforce Dump'!C255,"")</f>
        <v/>
      </c>
      <c r="F258" s="49" t="str">
        <f>IF('Salesforce Dump'!D255&lt;&gt;"",'Salesforce Dump'!D255,"")</f>
        <v/>
      </c>
      <c r="G258" s="49" t="str">
        <f>IF('Salesforce Dump'!E255&lt;&gt;"",'Salesforce Dump'!E255,"")</f>
        <v/>
      </c>
      <c r="H258" s="49" t="str">
        <f>IF('Salesforce Dump'!G255&lt;&gt;"",'Salesforce Dump'!G255,"")</f>
        <v/>
      </c>
      <c r="I258" s="49" t="str">
        <f>IF('Salesforce Dump'!H255&lt;&gt;"",'Salesforce Dump'!H255,"")</f>
        <v/>
      </c>
      <c r="J258" s="51" t="str">
        <f>IF('Salesforce Dump'!I255&lt;&gt;"",'Salesforce Dump'!I255,"")</f>
        <v/>
      </c>
      <c r="K258" s="51" t="str">
        <f>IF('Salesforce Dump'!J255&lt;&gt;"",'Salesforce Dump'!J255,"")</f>
        <v/>
      </c>
      <c r="L258" s="52" t="str">
        <f>IFERROR(INDEX('OBA Dump'!C:C,MATCH($E258*1,'OBA Dump'!$A:$A,0)),"")</f>
        <v/>
      </c>
      <c r="M258" s="52" t="str">
        <f>IFERROR(INDEX('OBA Dump'!D:D,MATCH($E258*1,'OBA Dump'!$A:$A,0)),"")</f>
        <v/>
      </c>
      <c r="N258" s="52"/>
      <c r="O258" s="52"/>
      <c r="P258" s="53"/>
      <c r="Q258" s="52"/>
      <c r="R258" s="38" t="str">
        <f>_xlfn.IFNA(VLOOKUP(E258,'Pre-Booked Holidays'!A:B,2,0),"")</f>
        <v/>
      </c>
      <c r="S258" s="38" t="str">
        <f>IF(E258="","",IF(IFERROR(VLOOKUP(E258,'Onbase Report'!D:E,2,0),"")&lt;&gt;"","Details in Onbase","No Details"))</f>
        <v/>
      </c>
      <c r="T258" s="38" t="str">
        <f>IF(LEFT('Salesforce Dump'!Q255,5)="BHX10",LEFT('Salesforce Dump'!Q255,5),LEFT('Salesforce Dump'!Q255,4))</f>
        <v/>
      </c>
      <c r="U258" s="38"/>
    </row>
    <row r="259" spans="1:21" ht="14.5" x14ac:dyDescent="0.35">
      <c r="A259" s="47" t="str">
        <f>IF('Salesforce Dump'!A256&lt;&gt;"",'Salesforce Dump'!A256,"")</f>
        <v/>
      </c>
      <c r="B259" s="48"/>
      <c r="C259" s="49" t="str">
        <f>IF('Salesforce Dump'!B256&lt;&gt;"",'Salesforce Dump'!B256,"")</f>
        <v/>
      </c>
      <c r="D259" s="48"/>
      <c r="E259" s="50" t="str">
        <f>IF('Salesforce Dump'!C256&lt;&gt;"",'Salesforce Dump'!C256,"")</f>
        <v/>
      </c>
      <c r="F259" s="49" t="str">
        <f>IF('Salesforce Dump'!D256&lt;&gt;"",'Salesforce Dump'!D256,"")</f>
        <v/>
      </c>
      <c r="G259" s="49" t="str">
        <f>IF('Salesforce Dump'!E256&lt;&gt;"",'Salesforce Dump'!E256,"")</f>
        <v/>
      </c>
      <c r="H259" s="49" t="str">
        <f>IF('Salesforce Dump'!G256&lt;&gt;"",'Salesforce Dump'!G256,"")</f>
        <v/>
      </c>
      <c r="I259" s="49" t="str">
        <f>IF('Salesforce Dump'!H256&lt;&gt;"",'Salesforce Dump'!H256,"")</f>
        <v/>
      </c>
      <c r="J259" s="51" t="str">
        <f>IF('Salesforce Dump'!I256&lt;&gt;"",'Salesforce Dump'!I256,"")</f>
        <v/>
      </c>
      <c r="K259" s="51" t="str">
        <f>IF('Salesforce Dump'!J256&lt;&gt;"",'Salesforce Dump'!J256,"")</f>
        <v/>
      </c>
      <c r="L259" s="52" t="str">
        <f>IFERROR(INDEX('OBA Dump'!C:C,MATCH($E259*1,'OBA Dump'!$A:$A,0)),"")</f>
        <v/>
      </c>
      <c r="M259" s="52" t="str">
        <f>IFERROR(INDEX('OBA Dump'!D:D,MATCH($E259*1,'OBA Dump'!$A:$A,0)),"")</f>
        <v/>
      </c>
      <c r="N259" s="52"/>
      <c r="O259" s="52"/>
      <c r="P259" s="53"/>
      <c r="Q259" s="52"/>
      <c r="R259" s="38" t="str">
        <f>_xlfn.IFNA(VLOOKUP(E259,'Pre-Booked Holidays'!A:B,2,0),"")</f>
        <v/>
      </c>
      <c r="S259" s="38" t="str">
        <f>IF(E259="","",IF(IFERROR(VLOOKUP(E259,'Onbase Report'!D:E,2,0),"")&lt;&gt;"","Details in Onbase","No Details"))</f>
        <v/>
      </c>
      <c r="T259" s="38" t="str">
        <f>IF(LEFT('Salesforce Dump'!Q256,5)="BHX10",LEFT('Salesforce Dump'!Q256,5),LEFT('Salesforce Dump'!Q256,4))</f>
        <v/>
      </c>
      <c r="U259" s="38"/>
    </row>
    <row r="260" spans="1:21" ht="14.5" x14ac:dyDescent="0.35">
      <c r="A260" s="47" t="str">
        <f>IF('Salesforce Dump'!A257&lt;&gt;"",'Salesforce Dump'!A257,"")</f>
        <v/>
      </c>
      <c r="B260" s="48"/>
      <c r="C260" s="49" t="str">
        <f>IF('Salesforce Dump'!B257&lt;&gt;"",'Salesforce Dump'!B257,"")</f>
        <v/>
      </c>
      <c r="D260" s="48"/>
      <c r="E260" s="50" t="str">
        <f>IF('Salesforce Dump'!C257&lt;&gt;"",'Salesforce Dump'!C257,"")</f>
        <v/>
      </c>
      <c r="F260" s="49" t="str">
        <f>IF('Salesforce Dump'!D257&lt;&gt;"",'Salesforce Dump'!D257,"")</f>
        <v/>
      </c>
      <c r="G260" s="49" t="str">
        <f>IF('Salesforce Dump'!E257&lt;&gt;"",'Salesforce Dump'!E257,"")</f>
        <v/>
      </c>
      <c r="H260" s="49" t="str">
        <f>IF('Salesforce Dump'!G257&lt;&gt;"",'Salesforce Dump'!G257,"")</f>
        <v/>
      </c>
      <c r="I260" s="49" t="str">
        <f>IF('Salesforce Dump'!H257&lt;&gt;"",'Salesforce Dump'!H257,"")</f>
        <v/>
      </c>
      <c r="J260" s="51" t="str">
        <f>IF('Salesforce Dump'!I257&lt;&gt;"",'Salesforce Dump'!I257,"")</f>
        <v/>
      </c>
      <c r="K260" s="51" t="str">
        <f>IF('Salesforce Dump'!J257&lt;&gt;"",'Salesforce Dump'!J257,"")</f>
        <v/>
      </c>
      <c r="L260" s="52" t="str">
        <f>IFERROR(INDEX('OBA Dump'!C:C,MATCH($E260*1,'OBA Dump'!$A:$A,0)),"")</f>
        <v/>
      </c>
      <c r="M260" s="52" t="str">
        <f>IFERROR(INDEX('OBA Dump'!D:D,MATCH($E260*1,'OBA Dump'!$A:$A,0)),"")</f>
        <v/>
      </c>
      <c r="N260" s="52"/>
      <c r="O260" s="52"/>
      <c r="P260" s="53"/>
      <c r="Q260" s="52"/>
      <c r="R260" s="38" t="str">
        <f>_xlfn.IFNA(VLOOKUP(E260,'Pre-Booked Holidays'!A:B,2,0),"")</f>
        <v/>
      </c>
      <c r="S260" s="38" t="str">
        <f>IF(E260="","",IF(IFERROR(VLOOKUP(E260,'Onbase Report'!D:E,2,0),"")&lt;&gt;"","Details in Onbase","No Details"))</f>
        <v/>
      </c>
      <c r="T260" s="38" t="str">
        <f>IF(LEFT('Salesforce Dump'!Q257,5)="BHX10",LEFT('Salesforce Dump'!Q257,5),LEFT('Salesforce Dump'!Q257,4))</f>
        <v/>
      </c>
      <c r="U260" s="38"/>
    </row>
    <row r="261" spans="1:21" ht="14.5" x14ac:dyDescent="0.35">
      <c r="A261" s="47" t="str">
        <f>IF('Salesforce Dump'!A258&lt;&gt;"",'Salesforce Dump'!A258,"")</f>
        <v/>
      </c>
      <c r="B261" s="48"/>
      <c r="C261" s="49" t="str">
        <f>IF('Salesforce Dump'!B258&lt;&gt;"",'Salesforce Dump'!B258,"")</f>
        <v/>
      </c>
      <c r="D261" s="48"/>
      <c r="E261" s="50" t="str">
        <f>IF('Salesforce Dump'!C258&lt;&gt;"",'Salesforce Dump'!C258,"")</f>
        <v/>
      </c>
      <c r="F261" s="49" t="str">
        <f>IF('Salesforce Dump'!D258&lt;&gt;"",'Salesforce Dump'!D258,"")</f>
        <v/>
      </c>
      <c r="G261" s="49" t="str">
        <f>IF('Salesforce Dump'!E258&lt;&gt;"",'Salesforce Dump'!E258,"")</f>
        <v/>
      </c>
      <c r="H261" s="49" t="str">
        <f>IF('Salesforce Dump'!G258&lt;&gt;"",'Salesforce Dump'!G258,"")</f>
        <v/>
      </c>
      <c r="I261" s="49" t="str">
        <f>IF('Salesforce Dump'!H258&lt;&gt;"",'Salesforce Dump'!H258,"")</f>
        <v/>
      </c>
      <c r="J261" s="51" t="str">
        <f>IF('Salesforce Dump'!I258&lt;&gt;"",'Salesforce Dump'!I258,"")</f>
        <v/>
      </c>
      <c r="K261" s="51" t="str">
        <f>IF('Salesforce Dump'!J258&lt;&gt;"",'Salesforce Dump'!J258,"")</f>
        <v/>
      </c>
      <c r="L261" s="52" t="str">
        <f>IFERROR(INDEX('OBA Dump'!C:C,MATCH($E261*1,'OBA Dump'!$A:$A,0)),"")</f>
        <v/>
      </c>
      <c r="M261" s="52" t="str">
        <f>IFERROR(INDEX('OBA Dump'!D:D,MATCH($E261*1,'OBA Dump'!$A:$A,0)),"")</f>
        <v/>
      </c>
      <c r="N261" s="52"/>
      <c r="O261" s="52"/>
      <c r="P261" s="53"/>
      <c r="Q261" s="52"/>
      <c r="R261" s="38" t="str">
        <f>_xlfn.IFNA(VLOOKUP(E261,'Pre-Booked Holidays'!A:B,2,0),"")</f>
        <v/>
      </c>
      <c r="S261" s="38" t="str">
        <f>IF(E261="","",IF(IFERROR(VLOOKUP(E261,'Onbase Report'!D:E,2,0),"")&lt;&gt;"","Details in Onbase","No Details"))</f>
        <v/>
      </c>
      <c r="T261" s="38" t="str">
        <f>IF(LEFT('Salesforce Dump'!Q258,5)="BHX10",LEFT('Salesforce Dump'!Q258,5),LEFT('Salesforce Dump'!Q258,4))</f>
        <v/>
      </c>
      <c r="U261" s="38"/>
    </row>
    <row r="262" spans="1:21" ht="14.5" x14ac:dyDescent="0.35">
      <c r="A262" s="47" t="str">
        <f>IF('Salesforce Dump'!A259&lt;&gt;"",'Salesforce Dump'!A259,"")</f>
        <v/>
      </c>
      <c r="B262" s="48"/>
      <c r="C262" s="49" t="str">
        <f>IF('Salesforce Dump'!B259&lt;&gt;"",'Salesforce Dump'!B259,"")</f>
        <v/>
      </c>
      <c r="D262" s="48"/>
      <c r="E262" s="50" t="str">
        <f>IF('Salesforce Dump'!C259&lt;&gt;"",'Salesforce Dump'!C259,"")</f>
        <v/>
      </c>
      <c r="F262" s="49" t="str">
        <f>IF('Salesforce Dump'!D259&lt;&gt;"",'Salesforce Dump'!D259,"")</f>
        <v/>
      </c>
      <c r="G262" s="49" t="str">
        <f>IF('Salesforce Dump'!E259&lt;&gt;"",'Salesforce Dump'!E259,"")</f>
        <v/>
      </c>
      <c r="H262" s="49" t="str">
        <f>IF('Salesforce Dump'!G259&lt;&gt;"",'Salesforce Dump'!G259,"")</f>
        <v/>
      </c>
      <c r="I262" s="49" t="str">
        <f>IF('Salesforce Dump'!H259&lt;&gt;"",'Salesforce Dump'!H259,"")</f>
        <v/>
      </c>
      <c r="J262" s="51" t="str">
        <f>IF('Salesforce Dump'!I259&lt;&gt;"",'Salesforce Dump'!I259,"")</f>
        <v/>
      </c>
      <c r="K262" s="51" t="str">
        <f>IF('Salesforce Dump'!J259&lt;&gt;"",'Salesforce Dump'!J259,"")</f>
        <v/>
      </c>
      <c r="L262" s="52" t="str">
        <f>IFERROR(INDEX('OBA Dump'!C:C,MATCH($E262*1,'OBA Dump'!$A:$A,0)),"")</f>
        <v/>
      </c>
      <c r="M262" s="52" t="str">
        <f>IFERROR(INDEX('OBA Dump'!D:D,MATCH($E262*1,'OBA Dump'!$A:$A,0)),"")</f>
        <v/>
      </c>
      <c r="N262" s="52"/>
      <c r="O262" s="52"/>
      <c r="P262" s="53"/>
      <c r="Q262" s="52"/>
      <c r="R262" s="38" t="str">
        <f>_xlfn.IFNA(VLOOKUP(E262,'Pre-Booked Holidays'!A:B,2,0),"")</f>
        <v/>
      </c>
      <c r="S262" s="38" t="str">
        <f>IF(E262="","",IF(IFERROR(VLOOKUP(E262,'Onbase Report'!D:E,2,0),"")&lt;&gt;"","Details in Onbase","No Details"))</f>
        <v/>
      </c>
      <c r="T262" s="38" t="str">
        <f>IF(LEFT('Salesforce Dump'!Q259,5)="BHX10",LEFT('Salesforce Dump'!Q259,5),LEFT('Salesforce Dump'!Q259,4))</f>
        <v/>
      </c>
      <c r="U262" s="38"/>
    </row>
    <row r="263" spans="1:21" ht="14.5" x14ac:dyDescent="0.35">
      <c r="A263" s="47" t="str">
        <f>IF('Salesforce Dump'!A260&lt;&gt;"",'Salesforce Dump'!A260,"")</f>
        <v/>
      </c>
      <c r="B263" s="48"/>
      <c r="C263" s="49" t="str">
        <f>IF('Salesforce Dump'!B260&lt;&gt;"",'Salesforce Dump'!B260,"")</f>
        <v/>
      </c>
      <c r="D263" s="48"/>
      <c r="E263" s="50" t="str">
        <f>IF('Salesforce Dump'!C260&lt;&gt;"",'Salesforce Dump'!C260,"")</f>
        <v/>
      </c>
      <c r="F263" s="49" t="str">
        <f>IF('Salesforce Dump'!D260&lt;&gt;"",'Salesforce Dump'!D260,"")</f>
        <v/>
      </c>
      <c r="G263" s="49" t="str">
        <f>IF('Salesforce Dump'!E260&lt;&gt;"",'Salesforce Dump'!E260,"")</f>
        <v/>
      </c>
      <c r="H263" s="49" t="str">
        <f>IF('Salesforce Dump'!G260&lt;&gt;"",'Salesforce Dump'!G260,"")</f>
        <v/>
      </c>
      <c r="I263" s="49" t="str">
        <f>IF('Salesforce Dump'!H260&lt;&gt;"",'Salesforce Dump'!H260,"")</f>
        <v/>
      </c>
      <c r="J263" s="51" t="str">
        <f>IF('Salesforce Dump'!I260&lt;&gt;"",'Salesforce Dump'!I260,"")</f>
        <v/>
      </c>
      <c r="K263" s="51" t="str">
        <f>IF('Salesforce Dump'!J260&lt;&gt;"",'Salesforce Dump'!J260,"")</f>
        <v/>
      </c>
      <c r="L263" s="52" t="str">
        <f>IFERROR(INDEX('OBA Dump'!C:C,MATCH($E263*1,'OBA Dump'!$A:$A,0)),"")</f>
        <v/>
      </c>
      <c r="M263" s="52" t="str">
        <f>IFERROR(INDEX('OBA Dump'!D:D,MATCH($E263*1,'OBA Dump'!$A:$A,0)),"")</f>
        <v/>
      </c>
      <c r="N263" s="52"/>
      <c r="O263" s="52"/>
      <c r="P263" s="53"/>
      <c r="Q263" s="52"/>
      <c r="R263" s="38" t="str">
        <f>_xlfn.IFNA(VLOOKUP(E263,'Pre-Booked Holidays'!A:B,2,0),"")</f>
        <v/>
      </c>
      <c r="S263" s="38" t="str">
        <f>IF(E263="","",IF(IFERROR(VLOOKUP(E263,'Onbase Report'!D:E,2,0),"")&lt;&gt;"","Details in Onbase","No Details"))</f>
        <v/>
      </c>
      <c r="T263" s="38" t="str">
        <f>IF(LEFT('Salesforce Dump'!Q260,5)="BHX10",LEFT('Salesforce Dump'!Q260,5),LEFT('Salesforce Dump'!Q260,4))</f>
        <v/>
      </c>
      <c r="U263" s="38"/>
    </row>
    <row r="264" spans="1:21" ht="14.5" x14ac:dyDescent="0.35">
      <c r="A264" s="47" t="str">
        <f>IF('Salesforce Dump'!A261&lt;&gt;"",'Salesforce Dump'!A261,"")</f>
        <v/>
      </c>
      <c r="B264" s="48"/>
      <c r="C264" s="49" t="str">
        <f>IF('Salesforce Dump'!B261&lt;&gt;"",'Salesforce Dump'!B261,"")</f>
        <v/>
      </c>
      <c r="D264" s="48"/>
      <c r="E264" s="50" t="str">
        <f>IF('Salesforce Dump'!C261&lt;&gt;"",'Salesforce Dump'!C261,"")</f>
        <v/>
      </c>
      <c r="F264" s="49" t="str">
        <f>IF('Salesforce Dump'!D261&lt;&gt;"",'Salesforce Dump'!D261,"")</f>
        <v/>
      </c>
      <c r="G264" s="49" t="str">
        <f>IF('Salesforce Dump'!E261&lt;&gt;"",'Salesforce Dump'!E261,"")</f>
        <v/>
      </c>
      <c r="H264" s="49" t="str">
        <f>IF('Salesforce Dump'!G261&lt;&gt;"",'Salesforce Dump'!G261,"")</f>
        <v/>
      </c>
      <c r="I264" s="49" t="str">
        <f>IF('Salesforce Dump'!H261&lt;&gt;"",'Salesforce Dump'!H261,"")</f>
        <v/>
      </c>
      <c r="J264" s="51" t="str">
        <f>IF('Salesforce Dump'!I261&lt;&gt;"",'Salesforce Dump'!I261,"")</f>
        <v/>
      </c>
      <c r="K264" s="51" t="str">
        <f>IF('Salesforce Dump'!J261&lt;&gt;"",'Salesforce Dump'!J261,"")</f>
        <v/>
      </c>
      <c r="L264" s="52" t="str">
        <f>IFERROR(INDEX('OBA Dump'!C:C,MATCH($E264*1,'OBA Dump'!$A:$A,0)),"")</f>
        <v/>
      </c>
      <c r="M264" s="52" t="str">
        <f>IFERROR(INDEX('OBA Dump'!D:D,MATCH($E264*1,'OBA Dump'!$A:$A,0)),"")</f>
        <v/>
      </c>
      <c r="N264" s="52"/>
      <c r="O264" s="52"/>
      <c r="P264" s="53"/>
      <c r="Q264" s="52"/>
      <c r="R264" s="38" t="str">
        <f>_xlfn.IFNA(VLOOKUP(E264,'Pre-Booked Holidays'!A:B,2,0),"")</f>
        <v/>
      </c>
      <c r="S264" s="38" t="str">
        <f>IF(E264="","",IF(IFERROR(VLOOKUP(E264,'Onbase Report'!D:E,2,0),"")&lt;&gt;"","Details in Onbase","No Details"))</f>
        <v/>
      </c>
      <c r="T264" s="38" t="str">
        <f>IF(LEFT('Salesforce Dump'!Q261,5)="BHX10",LEFT('Salesforce Dump'!Q261,5),LEFT('Salesforce Dump'!Q261,4))</f>
        <v/>
      </c>
      <c r="U264" s="38"/>
    </row>
    <row r="265" spans="1:21" ht="14.5" x14ac:dyDescent="0.35">
      <c r="A265" s="47" t="str">
        <f>IF('Salesforce Dump'!A262&lt;&gt;"",'Salesforce Dump'!A262,"")</f>
        <v/>
      </c>
      <c r="B265" s="48"/>
      <c r="C265" s="49" t="str">
        <f>IF('Salesforce Dump'!B262&lt;&gt;"",'Salesforce Dump'!B262,"")</f>
        <v/>
      </c>
      <c r="D265" s="48"/>
      <c r="E265" s="50" t="str">
        <f>IF('Salesforce Dump'!C262&lt;&gt;"",'Salesforce Dump'!C262,"")</f>
        <v/>
      </c>
      <c r="F265" s="49" t="str">
        <f>IF('Salesforce Dump'!D262&lt;&gt;"",'Salesforce Dump'!D262,"")</f>
        <v/>
      </c>
      <c r="G265" s="49" t="str">
        <f>IF('Salesforce Dump'!E262&lt;&gt;"",'Salesforce Dump'!E262,"")</f>
        <v/>
      </c>
      <c r="H265" s="49" t="str">
        <f>IF('Salesforce Dump'!G262&lt;&gt;"",'Salesforce Dump'!G262,"")</f>
        <v/>
      </c>
      <c r="I265" s="49" t="str">
        <f>IF('Salesforce Dump'!H262&lt;&gt;"",'Salesforce Dump'!H262,"")</f>
        <v/>
      </c>
      <c r="J265" s="51" t="str">
        <f>IF('Salesforce Dump'!I262&lt;&gt;"",'Salesforce Dump'!I262,"")</f>
        <v/>
      </c>
      <c r="K265" s="51" t="str">
        <f>IF('Salesforce Dump'!J262&lt;&gt;"",'Salesforce Dump'!J262,"")</f>
        <v/>
      </c>
      <c r="L265" s="52" t="str">
        <f>IFERROR(INDEX('OBA Dump'!C:C,MATCH($E265*1,'OBA Dump'!$A:$A,0)),"")</f>
        <v/>
      </c>
      <c r="M265" s="52" t="str">
        <f>IFERROR(INDEX('OBA Dump'!D:D,MATCH($E265*1,'OBA Dump'!$A:$A,0)),"")</f>
        <v/>
      </c>
      <c r="N265" s="52"/>
      <c r="O265" s="52"/>
      <c r="P265" s="53"/>
      <c r="Q265" s="52"/>
      <c r="R265" s="38" t="str">
        <f>_xlfn.IFNA(VLOOKUP(E265,'Pre-Booked Holidays'!A:B,2,0),"")</f>
        <v/>
      </c>
      <c r="S265" s="38" t="str">
        <f>IF(E265="","",IF(IFERROR(VLOOKUP(E265,'Onbase Report'!D:E,2,0),"")&lt;&gt;"","Details in Onbase","No Details"))</f>
        <v/>
      </c>
      <c r="T265" s="38" t="str">
        <f>IF(LEFT('Salesforce Dump'!Q262,5)="BHX10",LEFT('Salesforce Dump'!Q262,5),LEFT('Salesforce Dump'!Q262,4))</f>
        <v/>
      </c>
      <c r="U265" s="38"/>
    </row>
    <row r="266" spans="1:21" ht="14.5" x14ac:dyDescent="0.35">
      <c r="A266" s="47" t="str">
        <f>IF('Salesforce Dump'!A263&lt;&gt;"",'Salesforce Dump'!A263,"")</f>
        <v/>
      </c>
      <c r="B266" s="48"/>
      <c r="C266" s="49" t="str">
        <f>IF('Salesforce Dump'!B263&lt;&gt;"",'Salesforce Dump'!B263,"")</f>
        <v/>
      </c>
      <c r="D266" s="48"/>
      <c r="E266" s="50" t="str">
        <f>IF('Salesforce Dump'!C263&lt;&gt;"",'Salesforce Dump'!C263,"")</f>
        <v/>
      </c>
      <c r="F266" s="49" t="str">
        <f>IF('Salesforce Dump'!D263&lt;&gt;"",'Salesforce Dump'!D263,"")</f>
        <v/>
      </c>
      <c r="G266" s="49" t="str">
        <f>IF('Salesforce Dump'!E263&lt;&gt;"",'Salesforce Dump'!E263,"")</f>
        <v/>
      </c>
      <c r="H266" s="49" t="str">
        <f>IF('Salesforce Dump'!G263&lt;&gt;"",'Salesforce Dump'!G263,"")</f>
        <v/>
      </c>
      <c r="I266" s="49" t="str">
        <f>IF('Salesforce Dump'!H263&lt;&gt;"",'Salesforce Dump'!H263,"")</f>
        <v/>
      </c>
      <c r="J266" s="51" t="str">
        <f>IF('Salesforce Dump'!I263&lt;&gt;"",'Salesforce Dump'!I263,"")</f>
        <v/>
      </c>
      <c r="K266" s="51" t="str">
        <f>IF('Salesforce Dump'!J263&lt;&gt;"",'Salesforce Dump'!J263,"")</f>
        <v/>
      </c>
      <c r="L266" s="52" t="str">
        <f>IFERROR(INDEX('OBA Dump'!C:C,MATCH($E266*1,'OBA Dump'!$A:$A,0)),"")</f>
        <v/>
      </c>
      <c r="M266" s="52" t="str">
        <f>IFERROR(INDEX('OBA Dump'!D:D,MATCH($E266*1,'OBA Dump'!$A:$A,0)),"")</f>
        <v/>
      </c>
      <c r="N266" s="52"/>
      <c r="O266" s="52"/>
      <c r="P266" s="53"/>
      <c r="Q266" s="52"/>
      <c r="R266" s="38" t="str">
        <f>_xlfn.IFNA(VLOOKUP(E266,'Pre-Booked Holidays'!A:B,2,0),"")</f>
        <v/>
      </c>
      <c r="S266" s="38" t="str">
        <f>IF(E266="","",IF(IFERROR(VLOOKUP(E266,'Onbase Report'!D:E,2,0),"")&lt;&gt;"","Details in Onbase","No Details"))</f>
        <v/>
      </c>
      <c r="T266" s="38" t="str">
        <f>IF(LEFT('Salesforce Dump'!Q263,5)="BHX10",LEFT('Salesforce Dump'!Q263,5),LEFT('Salesforce Dump'!Q263,4))</f>
        <v/>
      </c>
      <c r="U266" s="38"/>
    </row>
    <row r="267" spans="1:21" ht="14.5" x14ac:dyDescent="0.35">
      <c r="A267" s="47" t="str">
        <f>IF('Salesforce Dump'!A264&lt;&gt;"",'Salesforce Dump'!A264,"")</f>
        <v/>
      </c>
      <c r="B267" s="48"/>
      <c r="C267" s="49" t="str">
        <f>IF('Salesforce Dump'!B264&lt;&gt;"",'Salesforce Dump'!B264,"")</f>
        <v/>
      </c>
      <c r="D267" s="48"/>
      <c r="E267" s="50" t="str">
        <f>IF('Salesforce Dump'!C264&lt;&gt;"",'Salesforce Dump'!C264,"")</f>
        <v/>
      </c>
      <c r="F267" s="49" t="str">
        <f>IF('Salesforce Dump'!D264&lt;&gt;"",'Salesforce Dump'!D264,"")</f>
        <v/>
      </c>
      <c r="G267" s="49" t="str">
        <f>IF('Salesforce Dump'!E264&lt;&gt;"",'Salesforce Dump'!E264,"")</f>
        <v/>
      </c>
      <c r="H267" s="49" t="str">
        <f>IF('Salesforce Dump'!G264&lt;&gt;"",'Salesforce Dump'!G264,"")</f>
        <v/>
      </c>
      <c r="I267" s="49" t="str">
        <f>IF('Salesforce Dump'!H264&lt;&gt;"",'Salesforce Dump'!H264,"")</f>
        <v/>
      </c>
      <c r="J267" s="51" t="str">
        <f>IF('Salesforce Dump'!I264&lt;&gt;"",'Salesforce Dump'!I264,"")</f>
        <v/>
      </c>
      <c r="K267" s="51" t="str">
        <f>IF('Salesforce Dump'!J264&lt;&gt;"",'Salesforce Dump'!J264,"")</f>
        <v/>
      </c>
      <c r="L267" s="52" t="str">
        <f>IFERROR(INDEX('OBA Dump'!C:C,MATCH($E267*1,'OBA Dump'!$A:$A,0)),"")</f>
        <v/>
      </c>
      <c r="M267" s="52" t="str">
        <f>IFERROR(INDEX('OBA Dump'!D:D,MATCH($E267*1,'OBA Dump'!$A:$A,0)),"")</f>
        <v/>
      </c>
      <c r="N267" s="52"/>
      <c r="O267" s="52"/>
      <c r="P267" s="53"/>
      <c r="Q267" s="52"/>
      <c r="R267" s="38" t="str">
        <f>_xlfn.IFNA(VLOOKUP(E267,'Pre-Booked Holidays'!A:B,2,0),"")</f>
        <v/>
      </c>
      <c r="S267" s="38" t="str">
        <f>IF(E267="","",IF(IFERROR(VLOOKUP(E267,'Onbase Report'!D:E,2,0),"")&lt;&gt;"","Details in Onbase","No Details"))</f>
        <v/>
      </c>
      <c r="T267" s="38" t="str">
        <f>IF(LEFT('Salesforce Dump'!Q264,5)="BHX10",LEFT('Salesforce Dump'!Q264,5),LEFT('Salesforce Dump'!Q264,4))</f>
        <v/>
      </c>
      <c r="U267" s="38"/>
    </row>
    <row r="268" spans="1:21" ht="14.5" x14ac:dyDescent="0.35">
      <c r="A268" s="47" t="str">
        <f>IF('Salesforce Dump'!A265&lt;&gt;"",'Salesforce Dump'!A265,"")</f>
        <v/>
      </c>
      <c r="B268" s="48"/>
      <c r="C268" s="49" t="str">
        <f>IF('Salesforce Dump'!B265&lt;&gt;"",'Salesforce Dump'!B265,"")</f>
        <v/>
      </c>
      <c r="D268" s="48"/>
      <c r="E268" s="50" t="str">
        <f>IF('Salesforce Dump'!C265&lt;&gt;"",'Salesforce Dump'!C265,"")</f>
        <v/>
      </c>
      <c r="F268" s="49" t="str">
        <f>IF('Salesforce Dump'!D265&lt;&gt;"",'Salesforce Dump'!D265,"")</f>
        <v/>
      </c>
      <c r="G268" s="49" t="str">
        <f>IF('Salesforce Dump'!E265&lt;&gt;"",'Salesforce Dump'!E265,"")</f>
        <v/>
      </c>
      <c r="H268" s="49" t="str">
        <f>IF('Salesforce Dump'!G265&lt;&gt;"",'Salesforce Dump'!G265,"")</f>
        <v/>
      </c>
      <c r="I268" s="49" t="str">
        <f>IF('Salesforce Dump'!H265&lt;&gt;"",'Salesforce Dump'!H265,"")</f>
        <v/>
      </c>
      <c r="J268" s="51" t="str">
        <f>IF('Salesforce Dump'!I265&lt;&gt;"",'Salesforce Dump'!I265,"")</f>
        <v/>
      </c>
      <c r="K268" s="51" t="str">
        <f>IF('Salesforce Dump'!J265&lt;&gt;"",'Salesforce Dump'!J265,"")</f>
        <v/>
      </c>
      <c r="L268" s="52" t="str">
        <f>IFERROR(INDEX('OBA Dump'!C:C,MATCH($E268*1,'OBA Dump'!$A:$A,0)),"")</f>
        <v/>
      </c>
      <c r="M268" s="52" t="str">
        <f>IFERROR(INDEX('OBA Dump'!D:D,MATCH($E268*1,'OBA Dump'!$A:$A,0)),"")</f>
        <v/>
      </c>
      <c r="N268" s="52"/>
      <c r="O268" s="52"/>
      <c r="P268" s="53"/>
      <c r="Q268" s="52"/>
      <c r="R268" s="38" t="str">
        <f>_xlfn.IFNA(VLOOKUP(E268,'Pre-Booked Holidays'!A:B,2,0),"")</f>
        <v/>
      </c>
      <c r="S268" s="38" t="str">
        <f>IF(E268="","",IF(IFERROR(VLOOKUP(E268,'Onbase Report'!D:E,2,0),"")&lt;&gt;"","Details in Onbase","No Details"))</f>
        <v/>
      </c>
      <c r="T268" s="38" t="str">
        <f>IF(LEFT('Salesforce Dump'!Q265,5)="BHX10",LEFT('Salesforce Dump'!Q265,5),LEFT('Salesforce Dump'!Q265,4))</f>
        <v/>
      </c>
      <c r="U268" s="38"/>
    </row>
    <row r="269" spans="1:21" ht="14.5" x14ac:dyDescent="0.35">
      <c r="A269" s="47" t="str">
        <f>IF('Salesforce Dump'!A266&lt;&gt;"",'Salesforce Dump'!A266,"")</f>
        <v/>
      </c>
      <c r="B269" s="48"/>
      <c r="C269" s="49" t="str">
        <f>IF('Salesforce Dump'!B266&lt;&gt;"",'Salesforce Dump'!B266,"")</f>
        <v/>
      </c>
      <c r="D269" s="48"/>
      <c r="E269" s="50" t="str">
        <f>IF('Salesforce Dump'!C266&lt;&gt;"",'Salesforce Dump'!C266,"")</f>
        <v/>
      </c>
      <c r="F269" s="49" t="str">
        <f>IF('Salesforce Dump'!D266&lt;&gt;"",'Salesforce Dump'!D266,"")</f>
        <v/>
      </c>
      <c r="G269" s="49" t="str">
        <f>IF('Salesforce Dump'!E266&lt;&gt;"",'Salesforce Dump'!E266,"")</f>
        <v/>
      </c>
      <c r="H269" s="49" t="str">
        <f>IF('Salesforce Dump'!G266&lt;&gt;"",'Salesforce Dump'!G266,"")</f>
        <v/>
      </c>
      <c r="I269" s="49" t="str">
        <f>IF('Salesforce Dump'!H266&lt;&gt;"",'Salesforce Dump'!H266,"")</f>
        <v/>
      </c>
      <c r="J269" s="51" t="str">
        <f>IF('Salesforce Dump'!I266&lt;&gt;"",'Salesforce Dump'!I266,"")</f>
        <v/>
      </c>
      <c r="K269" s="51" t="str">
        <f>IF('Salesforce Dump'!J266&lt;&gt;"",'Salesforce Dump'!J266,"")</f>
        <v/>
      </c>
      <c r="L269" s="52" t="str">
        <f>IFERROR(INDEX('OBA Dump'!C:C,MATCH($E269*1,'OBA Dump'!$A:$A,0)),"")</f>
        <v/>
      </c>
      <c r="M269" s="52" t="str">
        <f>IFERROR(INDEX('OBA Dump'!D:D,MATCH($E269*1,'OBA Dump'!$A:$A,0)),"")</f>
        <v/>
      </c>
      <c r="N269" s="52"/>
      <c r="O269" s="52"/>
      <c r="P269" s="53"/>
      <c r="Q269" s="52"/>
      <c r="R269" s="38" t="str">
        <f>_xlfn.IFNA(VLOOKUP(E269,'Pre-Booked Holidays'!A:B,2,0),"")</f>
        <v/>
      </c>
      <c r="S269" s="38" t="str">
        <f>IF(E269="","",IF(IFERROR(VLOOKUP(E269,'Onbase Report'!D:E,2,0),"")&lt;&gt;"","Details in Onbase","No Details"))</f>
        <v/>
      </c>
      <c r="T269" s="38" t="str">
        <f>IF(LEFT('Salesforce Dump'!Q266,5)="BHX10",LEFT('Salesforce Dump'!Q266,5),LEFT('Salesforce Dump'!Q266,4))</f>
        <v/>
      </c>
      <c r="U269" s="38"/>
    </row>
    <row r="270" spans="1:21" ht="14.5" x14ac:dyDescent="0.35">
      <c r="A270" s="47" t="str">
        <f>IF('Salesforce Dump'!A267&lt;&gt;"",'Salesforce Dump'!A267,"")</f>
        <v/>
      </c>
      <c r="B270" s="48"/>
      <c r="C270" s="49" t="str">
        <f>IF('Salesforce Dump'!B267&lt;&gt;"",'Salesforce Dump'!B267,"")</f>
        <v/>
      </c>
      <c r="D270" s="48"/>
      <c r="E270" s="50" t="str">
        <f>IF('Salesforce Dump'!C267&lt;&gt;"",'Salesforce Dump'!C267,"")</f>
        <v/>
      </c>
      <c r="F270" s="49" t="str">
        <f>IF('Salesforce Dump'!D267&lt;&gt;"",'Salesforce Dump'!D267,"")</f>
        <v/>
      </c>
      <c r="G270" s="49" t="str">
        <f>IF('Salesforce Dump'!E267&lt;&gt;"",'Salesforce Dump'!E267,"")</f>
        <v/>
      </c>
      <c r="H270" s="49" t="str">
        <f>IF('Salesforce Dump'!G267&lt;&gt;"",'Salesforce Dump'!G267,"")</f>
        <v/>
      </c>
      <c r="I270" s="49" t="str">
        <f>IF('Salesforce Dump'!H267&lt;&gt;"",'Salesforce Dump'!H267,"")</f>
        <v/>
      </c>
      <c r="J270" s="51" t="str">
        <f>IF('Salesforce Dump'!I267&lt;&gt;"",'Salesforce Dump'!I267,"")</f>
        <v/>
      </c>
      <c r="K270" s="51" t="str">
        <f>IF('Salesforce Dump'!J267&lt;&gt;"",'Salesforce Dump'!J267,"")</f>
        <v/>
      </c>
      <c r="L270" s="52" t="str">
        <f>IFERROR(INDEX('OBA Dump'!C:C,MATCH($E270*1,'OBA Dump'!$A:$A,0)),"")</f>
        <v/>
      </c>
      <c r="M270" s="52" t="str">
        <f>IFERROR(INDEX('OBA Dump'!D:D,MATCH($E270*1,'OBA Dump'!$A:$A,0)),"")</f>
        <v/>
      </c>
      <c r="N270" s="52"/>
      <c r="O270" s="52"/>
      <c r="P270" s="53"/>
      <c r="Q270" s="52"/>
      <c r="R270" s="38" t="str">
        <f>_xlfn.IFNA(VLOOKUP(E270,'Pre-Booked Holidays'!A:B,2,0),"")</f>
        <v/>
      </c>
      <c r="S270" s="38" t="str">
        <f>IF(E270="","",IF(IFERROR(VLOOKUP(E270,'Onbase Report'!D:E,2,0),"")&lt;&gt;"","Details in Onbase","No Details"))</f>
        <v/>
      </c>
      <c r="T270" s="38" t="str">
        <f>IF(LEFT('Salesforce Dump'!Q267,5)="BHX10",LEFT('Salesforce Dump'!Q267,5),LEFT('Salesforce Dump'!Q267,4))</f>
        <v/>
      </c>
      <c r="U270" s="38"/>
    </row>
    <row r="271" spans="1:21" ht="14.5" x14ac:dyDescent="0.35">
      <c r="A271" s="47" t="str">
        <f>IF('Salesforce Dump'!A268&lt;&gt;"",'Salesforce Dump'!A268,"")</f>
        <v/>
      </c>
      <c r="B271" s="48"/>
      <c r="C271" s="49" t="str">
        <f>IF('Salesforce Dump'!B268&lt;&gt;"",'Salesforce Dump'!B268,"")</f>
        <v/>
      </c>
      <c r="D271" s="48"/>
      <c r="E271" s="50" t="str">
        <f>IF('Salesforce Dump'!C268&lt;&gt;"",'Salesforce Dump'!C268,"")</f>
        <v/>
      </c>
      <c r="F271" s="49" t="str">
        <f>IF('Salesforce Dump'!D268&lt;&gt;"",'Salesforce Dump'!D268,"")</f>
        <v/>
      </c>
      <c r="G271" s="49" t="str">
        <f>IF('Salesforce Dump'!E268&lt;&gt;"",'Salesforce Dump'!E268,"")</f>
        <v/>
      </c>
      <c r="H271" s="49" t="str">
        <f>IF('Salesforce Dump'!G268&lt;&gt;"",'Salesforce Dump'!G268,"")</f>
        <v/>
      </c>
      <c r="I271" s="49" t="str">
        <f>IF('Salesforce Dump'!H268&lt;&gt;"",'Salesforce Dump'!H268,"")</f>
        <v/>
      </c>
      <c r="J271" s="51" t="str">
        <f>IF('Salesforce Dump'!I268&lt;&gt;"",'Salesforce Dump'!I268,"")</f>
        <v/>
      </c>
      <c r="K271" s="51" t="str">
        <f>IF('Salesforce Dump'!J268&lt;&gt;"",'Salesforce Dump'!J268,"")</f>
        <v/>
      </c>
      <c r="L271" s="52" t="str">
        <f>IFERROR(INDEX('OBA Dump'!C:C,MATCH($E271*1,'OBA Dump'!$A:$A,0)),"")</f>
        <v/>
      </c>
      <c r="M271" s="52" t="str">
        <f>IFERROR(INDEX('OBA Dump'!D:D,MATCH($E271*1,'OBA Dump'!$A:$A,0)),"")</f>
        <v/>
      </c>
      <c r="N271" s="52"/>
      <c r="O271" s="52"/>
      <c r="P271" s="53"/>
      <c r="Q271" s="52"/>
      <c r="R271" s="38" t="str">
        <f>_xlfn.IFNA(VLOOKUP(E271,'Pre-Booked Holidays'!A:B,2,0),"")</f>
        <v/>
      </c>
      <c r="S271" s="38" t="str">
        <f>IF(E271="","",IF(IFERROR(VLOOKUP(E271,'Onbase Report'!D:E,2,0),"")&lt;&gt;"","Details in Onbase","No Details"))</f>
        <v/>
      </c>
      <c r="T271" s="38" t="str">
        <f>IF(LEFT('Salesforce Dump'!Q268,5)="BHX10",LEFT('Salesforce Dump'!Q268,5),LEFT('Salesforce Dump'!Q268,4))</f>
        <v/>
      </c>
      <c r="U271" s="38"/>
    </row>
    <row r="272" spans="1:21" ht="14.5" x14ac:dyDescent="0.35">
      <c r="A272" s="47" t="str">
        <f>IF('Salesforce Dump'!A269&lt;&gt;"",'Salesforce Dump'!A269,"")</f>
        <v/>
      </c>
      <c r="B272" s="48"/>
      <c r="C272" s="49" t="str">
        <f>IF('Salesforce Dump'!B269&lt;&gt;"",'Salesforce Dump'!B269,"")</f>
        <v/>
      </c>
      <c r="D272" s="48"/>
      <c r="E272" s="50" t="str">
        <f>IF('Salesforce Dump'!C269&lt;&gt;"",'Salesforce Dump'!C269,"")</f>
        <v/>
      </c>
      <c r="F272" s="49" t="str">
        <f>IF('Salesforce Dump'!D269&lt;&gt;"",'Salesforce Dump'!D269,"")</f>
        <v/>
      </c>
      <c r="G272" s="49" t="str">
        <f>IF('Salesforce Dump'!E269&lt;&gt;"",'Salesforce Dump'!E269,"")</f>
        <v/>
      </c>
      <c r="H272" s="49" t="str">
        <f>IF('Salesforce Dump'!G269&lt;&gt;"",'Salesforce Dump'!G269,"")</f>
        <v/>
      </c>
      <c r="I272" s="49" t="str">
        <f>IF('Salesforce Dump'!H269&lt;&gt;"",'Salesforce Dump'!H269,"")</f>
        <v/>
      </c>
      <c r="J272" s="51" t="str">
        <f>IF('Salesforce Dump'!I269&lt;&gt;"",'Salesforce Dump'!I269,"")</f>
        <v/>
      </c>
      <c r="K272" s="51" t="str">
        <f>IF('Salesforce Dump'!J269&lt;&gt;"",'Salesforce Dump'!J269,"")</f>
        <v/>
      </c>
      <c r="L272" s="52" t="str">
        <f>IFERROR(INDEX('OBA Dump'!C:C,MATCH($E272*1,'OBA Dump'!$A:$A,0)),"")</f>
        <v/>
      </c>
      <c r="M272" s="52" t="str">
        <f>IFERROR(INDEX('OBA Dump'!D:D,MATCH($E272*1,'OBA Dump'!$A:$A,0)),"")</f>
        <v/>
      </c>
      <c r="N272" s="52"/>
      <c r="O272" s="52"/>
      <c r="P272" s="53"/>
      <c r="Q272" s="52"/>
      <c r="R272" s="38" t="str">
        <f>_xlfn.IFNA(VLOOKUP(E272,'Pre-Booked Holidays'!A:B,2,0),"")</f>
        <v/>
      </c>
      <c r="S272" s="38" t="str">
        <f>IF(E272="","",IF(IFERROR(VLOOKUP(E272,'Onbase Report'!D:E,2,0),"")&lt;&gt;"","Details in Onbase","No Details"))</f>
        <v/>
      </c>
      <c r="T272" s="38" t="str">
        <f>IF(LEFT('Salesforce Dump'!Q269,5)="BHX10",LEFT('Salesforce Dump'!Q269,5),LEFT('Salesforce Dump'!Q269,4))</f>
        <v/>
      </c>
      <c r="U272" s="38"/>
    </row>
    <row r="273" spans="1:21" ht="14.5" x14ac:dyDescent="0.35">
      <c r="A273" s="47" t="str">
        <f>IF('Salesforce Dump'!A270&lt;&gt;"",'Salesforce Dump'!A270,"")</f>
        <v/>
      </c>
      <c r="B273" s="48"/>
      <c r="C273" s="49" t="str">
        <f>IF('Salesforce Dump'!B270&lt;&gt;"",'Salesforce Dump'!B270,"")</f>
        <v/>
      </c>
      <c r="D273" s="48"/>
      <c r="E273" s="50" t="str">
        <f>IF('Salesforce Dump'!C270&lt;&gt;"",'Salesforce Dump'!C270,"")</f>
        <v/>
      </c>
      <c r="F273" s="49" t="str">
        <f>IF('Salesforce Dump'!D270&lt;&gt;"",'Salesforce Dump'!D270,"")</f>
        <v/>
      </c>
      <c r="G273" s="49" t="str">
        <f>IF('Salesforce Dump'!E270&lt;&gt;"",'Salesforce Dump'!E270,"")</f>
        <v/>
      </c>
      <c r="H273" s="49" t="str">
        <f>IF('Salesforce Dump'!G270&lt;&gt;"",'Salesforce Dump'!G270,"")</f>
        <v/>
      </c>
      <c r="I273" s="49" t="str">
        <f>IF('Salesforce Dump'!H270&lt;&gt;"",'Salesforce Dump'!H270,"")</f>
        <v/>
      </c>
      <c r="J273" s="51" t="str">
        <f>IF('Salesforce Dump'!I270&lt;&gt;"",'Salesforce Dump'!I270,"")</f>
        <v/>
      </c>
      <c r="K273" s="51" t="str">
        <f>IF('Salesforce Dump'!J270&lt;&gt;"",'Salesforce Dump'!J270,"")</f>
        <v/>
      </c>
      <c r="L273" s="52" t="str">
        <f>IFERROR(INDEX('OBA Dump'!C:C,MATCH($E273*1,'OBA Dump'!$A:$A,0)),"")</f>
        <v/>
      </c>
      <c r="M273" s="52" t="str">
        <f>IFERROR(INDEX('OBA Dump'!D:D,MATCH($E273*1,'OBA Dump'!$A:$A,0)),"")</f>
        <v/>
      </c>
      <c r="N273" s="52"/>
      <c r="O273" s="52"/>
      <c r="P273" s="53"/>
      <c r="Q273" s="52"/>
      <c r="R273" s="38" t="str">
        <f>_xlfn.IFNA(VLOOKUP(E273,'Pre-Booked Holidays'!A:B,2,0),"")</f>
        <v/>
      </c>
      <c r="S273" s="38" t="str">
        <f>IF(E273="","",IF(IFERROR(VLOOKUP(E273,'Onbase Report'!D:E,2,0),"")&lt;&gt;"","Details in Onbase","No Details"))</f>
        <v/>
      </c>
      <c r="T273" s="38" t="str">
        <f>IF(LEFT('Salesforce Dump'!Q270,5)="BHX10",LEFT('Salesforce Dump'!Q270,5),LEFT('Salesforce Dump'!Q270,4))</f>
        <v/>
      </c>
      <c r="U273" s="38"/>
    </row>
    <row r="274" spans="1:21" ht="14.5" x14ac:dyDescent="0.35">
      <c r="A274" s="47" t="str">
        <f>IF('Salesforce Dump'!A271&lt;&gt;"",'Salesforce Dump'!A271,"")</f>
        <v/>
      </c>
      <c r="B274" s="48"/>
      <c r="C274" s="49" t="str">
        <f>IF('Salesforce Dump'!B271&lt;&gt;"",'Salesforce Dump'!B271,"")</f>
        <v/>
      </c>
      <c r="D274" s="48"/>
      <c r="E274" s="50" t="str">
        <f>IF('Salesforce Dump'!C271&lt;&gt;"",'Salesforce Dump'!C271,"")</f>
        <v/>
      </c>
      <c r="F274" s="49" t="str">
        <f>IF('Salesforce Dump'!D271&lt;&gt;"",'Salesforce Dump'!D271,"")</f>
        <v/>
      </c>
      <c r="G274" s="49" t="str">
        <f>IF('Salesforce Dump'!E271&lt;&gt;"",'Salesforce Dump'!E271,"")</f>
        <v/>
      </c>
      <c r="H274" s="49" t="str">
        <f>IF('Salesforce Dump'!G271&lt;&gt;"",'Salesforce Dump'!G271,"")</f>
        <v/>
      </c>
      <c r="I274" s="49" t="str">
        <f>IF('Salesforce Dump'!H271&lt;&gt;"",'Salesforce Dump'!H271,"")</f>
        <v/>
      </c>
      <c r="J274" s="51" t="str">
        <f>IF('Salesforce Dump'!I271&lt;&gt;"",'Salesforce Dump'!I271,"")</f>
        <v/>
      </c>
      <c r="K274" s="51" t="str">
        <f>IF('Salesforce Dump'!J271&lt;&gt;"",'Salesforce Dump'!J271,"")</f>
        <v/>
      </c>
      <c r="L274" s="52" t="str">
        <f>IFERROR(INDEX('OBA Dump'!C:C,MATCH($E274*1,'OBA Dump'!$A:$A,0)),"")</f>
        <v/>
      </c>
      <c r="M274" s="52" t="str">
        <f>IFERROR(INDEX('OBA Dump'!D:D,MATCH($E274*1,'OBA Dump'!$A:$A,0)),"")</f>
        <v/>
      </c>
      <c r="N274" s="52"/>
      <c r="O274" s="52"/>
      <c r="P274" s="53"/>
      <c r="Q274" s="52"/>
      <c r="R274" s="38" t="str">
        <f>_xlfn.IFNA(VLOOKUP(E274,'Pre-Booked Holidays'!A:B,2,0),"")</f>
        <v/>
      </c>
      <c r="S274" s="38" t="str">
        <f>IF(E274="","",IF(IFERROR(VLOOKUP(E274,'Onbase Report'!D:E,2,0),"")&lt;&gt;"","Details in Onbase","No Details"))</f>
        <v/>
      </c>
      <c r="T274" s="38" t="str">
        <f>IF(LEFT('Salesforce Dump'!Q271,5)="BHX10",LEFT('Salesforce Dump'!Q271,5),LEFT('Salesforce Dump'!Q271,4))</f>
        <v/>
      </c>
      <c r="U274" s="38"/>
    </row>
    <row r="275" spans="1:21" ht="14.5" x14ac:dyDescent="0.35">
      <c r="A275" s="47" t="str">
        <f>IF('Salesforce Dump'!A272&lt;&gt;"",'Salesforce Dump'!A272,"")</f>
        <v/>
      </c>
      <c r="B275" s="48"/>
      <c r="C275" s="49" t="str">
        <f>IF('Salesforce Dump'!B272&lt;&gt;"",'Salesforce Dump'!B272,"")</f>
        <v/>
      </c>
      <c r="D275" s="48"/>
      <c r="E275" s="50" t="str">
        <f>IF('Salesforce Dump'!C272&lt;&gt;"",'Salesforce Dump'!C272,"")</f>
        <v/>
      </c>
      <c r="F275" s="49" t="str">
        <f>IF('Salesforce Dump'!D272&lt;&gt;"",'Salesforce Dump'!D272,"")</f>
        <v/>
      </c>
      <c r="G275" s="49" t="str">
        <f>IF('Salesforce Dump'!E272&lt;&gt;"",'Salesforce Dump'!E272,"")</f>
        <v/>
      </c>
      <c r="H275" s="49" t="str">
        <f>IF('Salesforce Dump'!G272&lt;&gt;"",'Salesforce Dump'!G272,"")</f>
        <v/>
      </c>
      <c r="I275" s="49" t="str">
        <f>IF('Salesforce Dump'!H272&lt;&gt;"",'Salesforce Dump'!H272,"")</f>
        <v/>
      </c>
      <c r="J275" s="51" t="str">
        <f>IF('Salesforce Dump'!I272&lt;&gt;"",'Salesforce Dump'!I272,"")</f>
        <v/>
      </c>
      <c r="K275" s="51" t="str">
        <f>IF('Salesforce Dump'!J272&lt;&gt;"",'Salesforce Dump'!J272,"")</f>
        <v/>
      </c>
      <c r="L275" s="52" t="str">
        <f>IFERROR(INDEX('OBA Dump'!C:C,MATCH($E275*1,'OBA Dump'!$A:$A,0)),"")</f>
        <v/>
      </c>
      <c r="M275" s="52" t="str">
        <f>IFERROR(INDEX('OBA Dump'!D:D,MATCH($E275*1,'OBA Dump'!$A:$A,0)),"")</f>
        <v/>
      </c>
      <c r="N275" s="52"/>
      <c r="O275" s="52"/>
      <c r="P275" s="53"/>
      <c r="Q275" s="52"/>
      <c r="R275" s="38" t="str">
        <f>_xlfn.IFNA(VLOOKUP(E275,'Pre-Booked Holidays'!A:B,2,0),"")</f>
        <v/>
      </c>
      <c r="S275" s="38" t="str">
        <f>IF(E275="","",IF(IFERROR(VLOOKUP(E275,'Onbase Report'!D:E,2,0),"")&lt;&gt;"","Details in Onbase","No Details"))</f>
        <v/>
      </c>
      <c r="T275" s="38" t="str">
        <f>IF(LEFT('Salesforce Dump'!Q272,5)="BHX10",LEFT('Salesforce Dump'!Q272,5),LEFT('Salesforce Dump'!Q272,4))</f>
        <v/>
      </c>
      <c r="U275" s="38"/>
    </row>
    <row r="276" spans="1:21" ht="14.5" x14ac:dyDescent="0.35">
      <c r="A276" s="47" t="str">
        <f>IF('Salesforce Dump'!A273&lt;&gt;"",'Salesforce Dump'!A273,"")</f>
        <v/>
      </c>
      <c r="B276" s="48"/>
      <c r="C276" s="49" t="str">
        <f>IF('Salesforce Dump'!B273&lt;&gt;"",'Salesforce Dump'!B273,"")</f>
        <v/>
      </c>
      <c r="D276" s="48"/>
      <c r="E276" s="50" t="str">
        <f>IF('Salesforce Dump'!C273&lt;&gt;"",'Salesforce Dump'!C273,"")</f>
        <v/>
      </c>
      <c r="F276" s="49" t="str">
        <f>IF('Salesforce Dump'!D273&lt;&gt;"",'Salesforce Dump'!D273,"")</f>
        <v/>
      </c>
      <c r="G276" s="49" t="str">
        <f>IF('Salesforce Dump'!E273&lt;&gt;"",'Salesforce Dump'!E273,"")</f>
        <v/>
      </c>
      <c r="H276" s="49" t="str">
        <f>IF('Salesforce Dump'!G273&lt;&gt;"",'Salesforce Dump'!G273,"")</f>
        <v/>
      </c>
      <c r="I276" s="49" t="str">
        <f>IF('Salesforce Dump'!H273&lt;&gt;"",'Salesforce Dump'!H273,"")</f>
        <v/>
      </c>
      <c r="J276" s="51" t="str">
        <f>IF('Salesforce Dump'!I273&lt;&gt;"",'Salesforce Dump'!I273,"")</f>
        <v/>
      </c>
      <c r="K276" s="51" t="str">
        <f>IF('Salesforce Dump'!J273&lt;&gt;"",'Salesforce Dump'!J273,"")</f>
        <v/>
      </c>
      <c r="L276" s="52" t="str">
        <f>IFERROR(INDEX('OBA Dump'!C:C,MATCH($E276*1,'OBA Dump'!$A:$A,0)),"")</f>
        <v/>
      </c>
      <c r="M276" s="52" t="str">
        <f>IFERROR(INDEX('OBA Dump'!D:D,MATCH($E276*1,'OBA Dump'!$A:$A,0)),"")</f>
        <v/>
      </c>
      <c r="N276" s="52"/>
      <c r="O276" s="52"/>
      <c r="P276" s="53"/>
      <c r="Q276" s="52"/>
      <c r="R276" s="38" t="str">
        <f>_xlfn.IFNA(VLOOKUP(E276,'Pre-Booked Holidays'!A:B,2,0),"")</f>
        <v/>
      </c>
      <c r="S276" s="38" t="str">
        <f>IF(E276="","",IF(IFERROR(VLOOKUP(E276,'Onbase Report'!D:E,2,0),"")&lt;&gt;"","Details in Onbase","No Details"))</f>
        <v/>
      </c>
      <c r="T276" s="38" t="str">
        <f>IF(LEFT('Salesforce Dump'!Q273,5)="BHX10",LEFT('Salesforce Dump'!Q273,5),LEFT('Salesforce Dump'!Q273,4))</f>
        <v/>
      </c>
      <c r="U276" s="38"/>
    </row>
    <row r="277" spans="1:21" ht="14.5" x14ac:dyDescent="0.35">
      <c r="A277" s="47" t="str">
        <f>IF('Salesforce Dump'!A274&lt;&gt;"",'Salesforce Dump'!A274,"")</f>
        <v/>
      </c>
      <c r="B277" s="48"/>
      <c r="C277" s="49" t="str">
        <f>IF('Salesforce Dump'!B274&lt;&gt;"",'Salesforce Dump'!B274,"")</f>
        <v/>
      </c>
      <c r="D277" s="48"/>
      <c r="E277" s="50" t="str">
        <f>IF('Salesforce Dump'!C274&lt;&gt;"",'Salesforce Dump'!C274,"")</f>
        <v/>
      </c>
      <c r="F277" s="49" t="str">
        <f>IF('Salesforce Dump'!D274&lt;&gt;"",'Salesforce Dump'!D274,"")</f>
        <v/>
      </c>
      <c r="G277" s="49" t="str">
        <f>IF('Salesforce Dump'!E274&lt;&gt;"",'Salesforce Dump'!E274,"")</f>
        <v/>
      </c>
      <c r="H277" s="49" t="str">
        <f>IF('Salesforce Dump'!G274&lt;&gt;"",'Salesforce Dump'!G274,"")</f>
        <v/>
      </c>
      <c r="I277" s="49" t="str">
        <f>IF('Salesforce Dump'!H274&lt;&gt;"",'Salesforce Dump'!H274,"")</f>
        <v/>
      </c>
      <c r="J277" s="51" t="str">
        <f>IF('Salesforce Dump'!I274&lt;&gt;"",'Salesforce Dump'!I274,"")</f>
        <v/>
      </c>
      <c r="K277" s="51" t="str">
        <f>IF('Salesforce Dump'!J274&lt;&gt;"",'Salesforce Dump'!J274,"")</f>
        <v/>
      </c>
      <c r="L277" s="52" t="str">
        <f>IFERROR(INDEX('OBA Dump'!C:C,MATCH($E277*1,'OBA Dump'!$A:$A,0)),"")</f>
        <v/>
      </c>
      <c r="M277" s="52" t="str">
        <f>IFERROR(INDEX('OBA Dump'!D:D,MATCH($E277*1,'OBA Dump'!$A:$A,0)),"")</f>
        <v/>
      </c>
      <c r="N277" s="52"/>
      <c r="O277" s="52"/>
      <c r="P277" s="53"/>
      <c r="Q277" s="52"/>
      <c r="R277" s="38" t="str">
        <f>_xlfn.IFNA(VLOOKUP(E277,'Pre-Booked Holidays'!A:B,2,0),"")</f>
        <v/>
      </c>
      <c r="S277" s="38" t="str">
        <f>IF(E277="","",IF(IFERROR(VLOOKUP(E277,'Onbase Report'!D:E,2,0),"")&lt;&gt;"","Details in Onbase","No Details"))</f>
        <v/>
      </c>
      <c r="T277" s="38" t="str">
        <f>IF(LEFT('Salesforce Dump'!Q274,5)="BHX10",LEFT('Salesforce Dump'!Q274,5),LEFT('Salesforce Dump'!Q274,4))</f>
        <v/>
      </c>
      <c r="U277" s="38"/>
    </row>
    <row r="278" spans="1:21" ht="14.5" x14ac:dyDescent="0.35">
      <c r="A278" s="47" t="str">
        <f>IF('Salesforce Dump'!A275&lt;&gt;"",'Salesforce Dump'!A275,"")</f>
        <v/>
      </c>
      <c r="B278" s="48"/>
      <c r="C278" s="49" t="str">
        <f>IF('Salesforce Dump'!B275&lt;&gt;"",'Salesforce Dump'!B275,"")</f>
        <v/>
      </c>
      <c r="D278" s="48"/>
      <c r="E278" s="50" t="str">
        <f>IF('Salesforce Dump'!C275&lt;&gt;"",'Salesforce Dump'!C275,"")</f>
        <v/>
      </c>
      <c r="F278" s="49" t="str">
        <f>IF('Salesforce Dump'!D275&lt;&gt;"",'Salesforce Dump'!D275,"")</f>
        <v/>
      </c>
      <c r="G278" s="49" t="str">
        <f>IF('Salesforce Dump'!E275&lt;&gt;"",'Salesforce Dump'!E275,"")</f>
        <v/>
      </c>
      <c r="H278" s="49" t="str">
        <f>IF('Salesforce Dump'!G275&lt;&gt;"",'Salesforce Dump'!G275,"")</f>
        <v/>
      </c>
      <c r="I278" s="49" t="str">
        <f>IF('Salesforce Dump'!H275&lt;&gt;"",'Salesforce Dump'!H275,"")</f>
        <v/>
      </c>
      <c r="J278" s="51" t="str">
        <f>IF('Salesforce Dump'!I275&lt;&gt;"",'Salesforce Dump'!I275,"")</f>
        <v/>
      </c>
      <c r="K278" s="51" t="str">
        <f>IF('Salesforce Dump'!J275&lt;&gt;"",'Salesforce Dump'!J275,"")</f>
        <v/>
      </c>
      <c r="L278" s="52" t="str">
        <f>IFERROR(INDEX('OBA Dump'!C:C,MATCH($E278*1,'OBA Dump'!$A:$A,0)),"")</f>
        <v/>
      </c>
      <c r="M278" s="52" t="str">
        <f>IFERROR(INDEX('OBA Dump'!D:D,MATCH($E278*1,'OBA Dump'!$A:$A,0)),"")</f>
        <v/>
      </c>
      <c r="N278" s="52"/>
      <c r="O278" s="52"/>
      <c r="P278" s="53"/>
      <c r="Q278" s="52"/>
      <c r="R278" s="38" t="str">
        <f>_xlfn.IFNA(VLOOKUP(E278,'Pre-Booked Holidays'!A:B,2,0),"")</f>
        <v/>
      </c>
      <c r="S278" s="38" t="str">
        <f>IF(E278="","",IF(IFERROR(VLOOKUP(E278,'Onbase Report'!D:E,2,0),"")&lt;&gt;"","Details in Onbase","No Details"))</f>
        <v/>
      </c>
      <c r="T278" s="38" t="str">
        <f>IF(LEFT('Salesforce Dump'!Q275,5)="BHX10",LEFT('Salesforce Dump'!Q275,5),LEFT('Salesforce Dump'!Q275,4))</f>
        <v/>
      </c>
      <c r="U278" s="38"/>
    </row>
    <row r="279" spans="1:21" ht="14.5" x14ac:dyDescent="0.35">
      <c r="A279" s="47" t="str">
        <f>IF('Salesforce Dump'!A276&lt;&gt;"",'Salesforce Dump'!A276,"")</f>
        <v/>
      </c>
      <c r="B279" s="48"/>
      <c r="C279" s="49" t="str">
        <f>IF('Salesforce Dump'!B276&lt;&gt;"",'Salesforce Dump'!B276,"")</f>
        <v/>
      </c>
      <c r="D279" s="48"/>
      <c r="E279" s="50" t="str">
        <f>IF('Salesforce Dump'!C276&lt;&gt;"",'Salesforce Dump'!C276,"")</f>
        <v/>
      </c>
      <c r="F279" s="49" t="str">
        <f>IF('Salesforce Dump'!D276&lt;&gt;"",'Salesforce Dump'!D276,"")</f>
        <v/>
      </c>
      <c r="G279" s="49" t="str">
        <f>IF('Salesforce Dump'!E276&lt;&gt;"",'Salesforce Dump'!E276,"")</f>
        <v/>
      </c>
      <c r="H279" s="49" t="str">
        <f>IF('Salesforce Dump'!G276&lt;&gt;"",'Salesforce Dump'!G276,"")</f>
        <v/>
      </c>
      <c r="I279" s="49" t="str">
        <f>IF('Salesforce Dump'!H276&lt;&gt;"",'Salesforce Dump'!H276,"")</f>
        <v/>
      </c>
      <c r="J279" s="51" t="str">
        <f>IF('Salesforce Dump'!I276&lt;&gt;"",'Salesforce Dump'!I276,"")</f>
        <v/>
      </c>
      <c r="K279" s="51" t="str">
        <f>IF('Salesforce Dump'!J276&lt;&gt;"",'Salesforce Dump'!J276,"")</f>
        <v/>
      </c>
      <c r="L279" s="52" t="str">
        <f>IFERROR(INDEX('OBA Dump'!C:C,MATCH($E279*1,'OBA Dump'!$A:$A,0)),"")</f>
        <v/>
      </c>
      <c r="M279" s="52" t="str">
        <f>IFERROR(INDEX('OBA Dump'!D:D,MATCH($E279*1,'OBA Dump'!$A:$A,0)),"")</f>
        <v/>
      </c>
      <c r="N279" s="52"/>
      <c r="O279" s="52"/>
      <c r="P279" s="53"/>
      <c r="Q279" s="52"/>
      <c r="R279" s="38" t="str">
        <f>_xlfn.IFNA(VLOOKUP(E279,'Pre-Booked Holidays'!A:B,2,0),"")</f>
        <v/>
      </c>
      <c r="S279" s="38" t="str">
        <f>IF(E279="","",IF(IFERROR(VLOOKUP(E279,'Onbase Report'!D:E,2,0),"")&lt;&gt;"","Details in Onbase","No Details"))</f>
        <v/>
      </c>
      <c r="T279" s="38" t="str">
        <f>IF(LEFT('Salesforce Dump'!Q276,5)="BHX10",LEFT('Salesforce Dump'!Q276,5),LEFT('Salesforce Dump'!Q276,4))</f>
        <v/>
      </c>
      <c r="U279" s="38"/>
    </row>
    <row r="280" spans="1:21" ht="14.5" x14ac:dyDescent="0.35">
      <c r="A280" s="47" t="str">
        <f>IF('Salesforce Dump'!A277&lt;&gt;"",'Salesforce Dump'!A277,"")</f>
        <v/>
      </c>
      <c r="B280" s="48"/>
      <c r="C280" s="49" t="str">
        <f>IF('Salesforce Dump'!B277&lt;&gt;"",'Salesforce Dump'!B277,"")</f>
        <v/>
      </c>
      <c r="D280" s="48"/>
      <c r="E280" s="50" t="str">
        <f>IF('Salesforce Dump'!C277&lt;&gt;"",'Salesforce Dump'!C277,"")</f>
        <v/>
      </c>
      <c r="F280" s="49" t="str">
        <f>IF('Salesforce Dump'!D277&lt;&gt;"",'Salesforce Dump'!D277,"")</f>
        <v/>
      </c>
      <c r="G280" s="49" t="str">
        <f>IF('Salesforce Dump'!E277&lt;&gt;"",'Salesforce Dump'!E277,"")</f>
        <v/>
      </c>
      <c r="H280" s="49" t="str">
        <f>IF('Salesforce Dump'!G277&lt;&gt;"",'Salesforce Dump'!G277,"")</f>
        <v/>
      </c>
      <c r="I280" s="49" t="str">
        <f>IF('Salesforce Dump'!H277&lt;&gt;"",'Salesforce Dump'!H277,"")</f>
        <v/>
      </c>
      <c r="J280" s="51" t="str">
        <f>IF('Salesforce Dump'!I277&lt;&gt;"",'Salesforce Dump'!I277,"")</f>
        <v/>
      </c>
      <c r="K280" s="51" t="str">
        <f>IF('Salesforce Dump'!J277&lt;&gt;"",'Salesforce Dump'!J277,"")</f>
        <v/>
      </c>
      <c r="L280" s="52" t="str">
        <f>IFERROR(INDEX('OBA Dump'!C:C,MATCH($E280*1,'OBA Dump'!$A:$A,0)),"")</f>
        <v/>
      </c>
      <c r="M280" s="52" t="str">
        <f>IFERROR(INDEX('OBA Dump'!D:D,MATCH($E280*1,'OBA Dump'!$A:$A,0)),"")</f>
        <v/>
      </c>
      <c r="N280" s="52"/>
      <c r="O280" s="52"/>
      <c r="P280" s="53"/>
      <c r="Q280" s="52"/>
      <c r="R280" s="38" t="str">
        <f>_xlfn.IFNA(VLOOKUP(E280,'Pre-Booked Holidays'!A:B,2,0),"")</f>
        <v/>
      </c>
      <c r="S280" s="38" t="str">
        <f>IF(E280="","",IF(IFERROR(VLOOKUP(E280,'Onbase Report'!D:E,2,0),"")&lt;&gt;"","Details in Onbase","No Details"))</f>
        <v/>
      </c>
      <c r="T280" s="38" t="str">
        <f>IF(LEFT('Salesforce Dump'!Q277,5)="BHX10",LEFT('Salesforce Dump'!Q277,5),LEFT('Salesforce Dump'!Q277,4))</f>
        <v/>
      </c>
      <c r="U280" s="38"/>
    </row>
    <row r="281" spans="1:21" ht="14.5" x14ac:dyDescent="0.35">
      <c r="A281" s="47" t="str">
        <f>IF('Salesforce Dump'!A278&lt;&gt;"",'Salesforce Dump'!A278,"")</f>
        <v/>
      </c>
      <c r="B281" s="48"/>
      <c r="C281" s="49" t="str">
        <f>IF('Salesforce Dump'!B278&lt;&gt;"",'Salesforce Dump'!B278,"")</f>
        <v/>
      </c>
      <c r="D281" s="48"/>
      <c r="E281" s="50" t="str">
        <f>IF('Salesforce Dump'!C278&lt;&gt;"",'Salesforce Dump'!C278,"")</f>
        <v/>
      </c>
      <c r="F281" s="49" t="str">
        <f>IF('Salesforce Dump'!D278&lt;&gt;"",'Salesforce Dump'!D278,"")</f>
        <v/>
      </c>
      <c r="G281" s="49" t="str">
        <f>IF('Salesforce Dump'!E278&lt;&gt;"",'Salesforce Dump'!E278,"")</f>
        <v/>
      </c>
      <c r="H281" s="49" t="str">
        <f>IF('Salesforce Dump'!G278&lt;&gt;"",'Salesforce Dump'!G278,"")</f>
        <v/>
      </c>
      <c r="I281" s="49" t="str">
        <f>IF('Salesforce Dump'!H278&lt;&gt;"",'Salesforce Dump'!H278,"")</f>
        <v/>
      </c>
      <c r="J281" s="51" t="str">
        <f>IF('Salesforce Dump'!I278&lt;&gt;"",'Salesforce Dump'!I278,"")</f>
        <v/>
      </c>
      <c r="K281" s="51" t="str">
        <f>IF('Salesforce Dump'!J278&lt;&gt;"",'Salesforce Dump'!J278,"")</f>
        <v/>
      </c>
      <c r="L281" s="52" t="str">
        <f>IFERROR(INDEX('OBA Dump'!C:C,MATCH($E281*1,'OBA Dump'!$A:$A,0)),"")</f>
        <v/>
      </c>
      <c r="M281" s="52" t="str">
        <f>IFERROR(INDEX('OBA Dump'!D:D,MATCH($E281*1,'OBA Dump'!$A:$A,0)),"")</f>
        <v/>
      </c>
      <c r="N281" s="52"/>
      <c r="O281" s="52"/>
      <c r="P281" s="53"/>
      <c r="Q281" s="52"/>
      <c r="R281" s="38" t="str">
        <f>_xlfn.IFNA(VLOOKUP(E281,'Pre-Booked Holidays'!A:B,2,0),"")</f>
        <v/>
      </c>
      <c r="S281" s="38" t="str">
        <f>IF(E281="","",IF(IFERROR(VLOOKUP(E281,'Onbase Report'!D:E,2,0),"")&lt;&gt;"","Details in Onbase","No Details"))</f>
        <v/>
      </c>
      <c r="T281" s="38" t="str">
        <f>IF(LEFT('Salesforce Dump'!Q278,5)="BHX10",LEFT('Salesforce Dump'!Q278,5),LEFT('Salesforce Dump'!Q278,4))</f>
        <v/>
      </c>
      <c r="U281" s="38"/>
    </row>
    <row r="282" spans="1:21" ht="14.5" x14ac:dyDescent="0.35">
      <c r="A282" s="47" t="str">
        <f>IF('Salesforce Dump'!A279&lt;&gt;"",'Salesforce Dump'!A279,"")</f>
        <v/>
      </c>
      <c r="B282" s="48"/>
      <c r="C282" s="49" t="str">
        <f>IF('Salesforce Dump'!B279&lt;&gt;"",'Salesforce Dump'!B279,"")</f>
        <v/>
      </c>
      <c r="D282" s="48"/>
      <c r="E282" s="50" t="str">
        <f>IF('Salesforce Dump'!C279&lt;&gt;"",'Salesforce Dump'!C279,"")</f>
        <v/>
      </c>
      <c r="F282" s="49" t="str">
        <f>IF('Salesforce Dump'!D279&lt;&gt;"",'Salesforce Dump'!D279,"")</f>
        <v/>
      </c>
      <c r="G282" s="49" t="str">
        <f>IF('Salesforce Dump'!E279&lt;&gt;"",'Salesforce Dump'!E279,"")</f>
        <v/>
      </c>
      <c r="H282" s="49" t="str">
        <f>IF('Salesforce Dump'!G279&lt;&gt;"",'Salesforce Dump'!G279,"")</f>
        <v/>
      </c>
      <c r="I282" s="49" t="str">
        <f>IF('Salesforce Dump'!H279&lt;&gt;"",'Salesforce Dump'!H279,"")</f>
        <v/>
      </c>
      <c r="J282" s="51" t="str">
        <f>IF('Salesforce Dump'!I279&lt;&gt;"",'Salesforce Dump'!I279,"")</f>
        <v/>
      </c>
      <c r="K282" s="51" t="str">
        <f>IF('Salesforce Dump'!J279&lt;&gt;"",'Salesforce Dump'!J279,"")</f>
        <v/>
      </c>
      <c r="L282" s="52" t="str">
        <f>IFERROR(INDEX('OBA Dump'!C:C,MATCH($E282*1,'OBA Dump'!$A:$A,0)),"")</f>
        <v/>
      </c>
      <c r="M282" s="52" t="str">
        <f>IFERROR(INDEX('OBA Dump'!D:D,MATCH($E282*1,'OBA Dump'!$A:$A,0)),"")</f>
        <v/>
      </c>
      <c r="N282" s="52"/>
      <c r="O282" s="52"/>
      <c r="P282" s="53"/>
      <c r="Q282" s="52"/>
      <c r="R282" s="38" t="str">
        <f>_xlfn.IFNA(VLOOKUP(E282,'Pre-Booked Holidays'!A:B,2,0),"")</f>
        <v/>
      </c>
      <c r="S282" s="38" t="str">
        <f>IF(E282="","",IF(IFERROR(VLOOKUP(E282,'Onbase Report'!D:E,2,0),"")&lt;&gt;"","Details in Onbase","No Details"))</f>
        <v/>
      </c>
      <c r="T282" s="38" t="str">
        <f>IF(LEFT('Salesforce Dump'!Q279,5)="BHX10",LEFT('Salesforce Dump'!Q279,5),LEFT('Salesforce Dump'!Q279,4))</f>
        <v/>
      </c>
      <c r="U282" s="38"/>
    </row>
    <row r="283" spans="1:21" ht="14.5" x14ac:dyDescent="0.35">
      <c r="A283" s="47" t="str">
        <f>IF('Salesforce Dump'!A280&lt;&gt;"",'Salesforce Dump'!A280,"")</f>
        <v/>
      </c>
      <c r="B283" s="48"/>
      <c r="C283" s="49" t="str">
        <f>IF('Salesforce Dump'!B280&lt;&gt;"",'Salesforce Dump'!B280,"")</f>
        <v/>
      </c>
      <c r="D283" s="48"/>
      <c r="E283" s="50" t="str">
        <f>IF('Salesforce Dump'!C280&lt;&gt;"",'Salesforce Dump'!C280,"")</f>
        <v/>
      </c>
      <c r="F283" s="49" t="str">
        <f>IF('Salesforce Dump'!D280&lt;&gt;"",'Salesforce Dump'!D280,"")</f>
        <v/>
      </c>
      <c r="G283" s="49" t="str">
        <f>IF('Salesforce Dump'!E280&lt;&gt;"",'Salesforce Dump'!E280,"")</f>
        <v/>
      </c>
      <c r="H283" s="49" t="str">
        <f>IF('Salesforce Dump'!G280&lt;&gt;"",'Salesforce Dump'!G280,"")</f>
        <v/>
      </c>
      <c r="I283" s="49" t="str">
        <f>IF('Salesforce Dump'!H280&lt;&gt;"",'Salesforce Dump'!H280,"")</f>
        <v/>
      </c>
      <c r="J283" s="51" t="str">
        <f>IF('Salesforce Dump'!I280&lt;&gt;"",'Salesforce Dump'!I280,"")</f>
        <v/>
      </c>
      <c r="K283" s="51" t="str">
        <f>IF('Salesforce Dump'!J280&lt;&gt;"",'Salesforce Dump'!J280,"")</f>
        <v/>
      </c>
      <c r="L283" s="52" t="str">
        <f>IFERROR(INDEX('OBA Dump'!C:C,MATCH($E283*1,'OBA Dump'!$A:$A,0)),"")</f>
        <v/>
      </c>
      <c r="M283" s="52" t="str">
        <f>IFERROR(INDEX('OBA Dump'!D:D,MATCH($E283*1,'OBA Dump'!$A:$A,0)),"")</f>
        <v/>
      </c>
      <c r="N283" s="52"/>
      <c r="O283" s="52"/>
      <c r="P283" s="53"/>
      <c r="Q283" s="52"/>
      <c r="R283" s="38" t="str">
        <f>_xlfn.IFNA(VLOOKUP(E283,'Pre-Booked Holidays'!A:B,2,0),"")</f>
        <v/>
      </c>
      <c r="S283" s="38" t="str">
        <f>IF(E283="","",IF(IFERROR(VLOOKUP(E283,'Onbase Report'!D:E,2,0),"")&lt;&gt;"","Details in Onbase","No Details"))</f>
        <v/>
      </c>
      <c r="T283" s="38" t="str">
        <f>IF(LEFT('Salesforce Dump'!Q280,5)="BHX10",LEFT('Salesforce Dump'!Q280,5),LEFT('Salesforce Dump'!Q280,4))</f>
        <v/>
      </c>
      <c r="U283" s="38"/>
    </row>
    <row r="284" spans="1:21" ht="14.5" x14ac:dyDescent="0.35">
      <c r="A284" s="47" t="str">
        <f>IF('Salesforce Dump'!A281&lt;&gt;"",'Salesforce Dump'!A281,"")</f>
        <v/>
      </c>
      <c r="B284" s="48"/>
      <c r="C284" s="49" t="str">
        <f>IF('Salesforce Dump'!B281&lt;&gt;"",'Salesforce Dump'!B281,"")</f>
        <v/>
      </c>
      <c r="D284" s="48"/>
      <c r="E284" s="50" t="str">
        <f>IF('Salesforce Dump'!C281&lt;&gt;"",'Salesforce Dump'!C281,"")</f>
        <v/>
      </c>
      <c r="F284" s="49" t="str">
        <f>IF('Salesforce Dump'!D281&lt;&gt;"",'Salesforce Dump'!D281,"")</f>
        <v/>
      </c>
      <c r="G284" s="49" t="str">
        <f>IF('Salesforce Dump'!E281&lt;&gt;"",'Salesforce Dump'!E281,"")</f>
        <v/>
      </c>
      <c r="H284" s="49" t="str">
        <f>IF('Salesforce Dump'!G281&lt;&gt;"",'Salesforce Dump'!G281,"")</f>
        <v/>
      </c>
      <c r="I284" s="49" t="str">
        <f>IF('Salesforce Dump'!H281&lt;&gt;"",'Salesforce Dump'!H281,"")</f>
        <v/>
      </c>
      <c r="J284" s="51" t="str">
        <f>IF('Salesforce Dump'!I281&lt;&gt;"",'Salesforce Dump'!I281,"")</f>
        <v/>
      </c>
      <c r="K284" s="51" t="str">
        <f>IF('Salesforce Dump'!J281&lt;&gt;"",'Salesforce Dump'!J281,"")</f>
        <v/>
      </c>
      <c r="L284" s="52" t="str">
        <f>IFERROR(INDEX('OBA Dump'!C:C,MATCH($E284*1,'OBA Dump'!$A:$A,0)),"")</f>
        <v/>
      </c>
      <c r="M284" s="52" t="str">
        <f>IFERROR(INDEX('OBA Dump'!D:D,MATCH($E284*1,'OBA Dump'!$A:$A,0)),"")</f>
        <v/>
      </c>
      <c r="N284" s="52"/>
      <c r="O284" s="52"/>
      <c r="P284" s="53"/>
      <c r="Q284" s="52"/>
      <c r="R284" s="38" t="str">
        <f>_xlfn.IFNA(VLOOKUP(E284,'Pre-Booked Holidays'!A:B,2,0),"")</f>
        <v/>
      </c>
      <c r="S284" s="38" t="str">
        <f>IF(E284="","",IF(IFERROR(VLOOKUP(E284,'Onbase Report'!D:E,2,0),"")&lt;&gt;"","Details in Onbase","No Details"))</f>
        <v/>
      </c>
      <c r="T284" s="38" t="str">
        <f>IF(LEFT('Salesforce Dump'!Q281,5)="BHX10",LEFT('Salesforce Dump'!Q281,5),LEFT('Salesforce Dump'!Q281,4))</f>
        <v/>
      </c>
      <c r="U284" s="38"/>
    </row>
    <row r="285" spans="1:21" ht="14.5" x14ac:dyDescent="0.35">
      <c r="A285" s="47" t="str">
        <f>IF('Salesforce Dump'!A282&lt;&gt;"",'Salesforce Dump'!A282,"")</f>
        <v/>
      </c>
      <c r="B285" s="48"/>
      <c r="C285" s="49" t="str">
        <f>IF('Salesforce Dump'!B282&lt;&gt;"",'Salesforce Dump'!B282,"")</f>
        <v/>
      </c>
      <c r="D285" s="48"/>
      <c r="E285" s="50" t="str">
        <f>IF('Salesforce Dump'!C282&lt;&gt;"",'Salesforce Dump'!C282,"")</f>
        <v/>
      </c>
      <c r="F285" s="49" t="str">
        <f>IF('Salesforce Dump'!D282&lt;&gt;"",'Salesforce Dump'!D282,"")</f>
        <v/>
      </c>
      <c r="G285" s="49" t="str">
        <f>IF('Salesforce Dump'!E282&lt;&gt;"",'Salesforce Dump'!E282,"")</f>
        <v/>
      </c>
      <c r="H285" s="49" t="str">
        <f>IF('Salesforce Dump'!G282&lt;&gt;"",'Salesforce Dump'!G282,"")</f>
        <v/>
      </c>
      <c r="I285" s="49" t="str">
        <f>IF('Salesforce Dump'!H282&lt;&gt;"",'Salesforce Dump'!H282,"")</f>
        <v/>
      </c>
      <c r="J285" s="51" t="str">
        <f>IF('Salesforce Dump'!I282&lt;&gt;"",'Salesforce Dump'!I282,"")</f>
        <v/>
      </c>
      <c r="K285" s="51" t="str">
        <f>IF('Salesforce Dump'!J282&lt;&gt;"",'Salesforce Dump'!J282,"")</f>
        <v/>
      </c>
      <c r="L285" s="52" t="str">
        <f>IFERROR(INDEX('OBA Dump'!C:C,MATCH($E285*1,'OBA Dump'!$A:$A,0)),"")</f>
        <v/>
      </c>
      <c r="M285" s="52" t="str">
        <f>IFERROR(INDEX('OBA Dump'!D:D,MATCH($E285*1,'OBA Dump'!$A:$A,0)),"")</f>
        <v/>
      </c>
      <c r="N285" s="52"/>
      <c r="O285" s="52"/>
      <c r="P285" s="53"/>
      <c r="Q285" s="52"/>
      <c r="R285" s="38" t="str">
        <f>_xlfn.IFNA(VLOOKUP(E285,'Pre-Booked Holidays'!A:B,2,0),"")</f>
        <v/>
      </c>
      <c r="S285" s="38" t="str">
        <f>IF(E285="","",IF(IFERROR(VLOOKUP(E285,'Onbase Report'!D:E,2,0),"")&lt;&gt;"","Details in Onbase","No Details"))</f>
        <v/>
      </c>
      <c r="T285" s="38" t="str">
        <f>IF(LEFT('Salesforce Dump'!Q282,5)="BHX10",LEFT('Salesforce Dump'!Q282,5),LEFT('Salesforce Dump'!Q282,4))</f>
        <v/>
      </c>
      <c r="U285" s="38"/>
    </row>
    <row r="286" spans="1:21" ht="14.5" x14ac:dyDescent="0.35">
      <c r="A286" s="47" t="str">
        <f>IF('Salesforce Dump'!A283&lt;&gt;"",'Salesforce Dump'!A283,"")</f>
        <v/>
      </c>
      <c r="B286" s="48"/>
      <c r="C286" s="49" t="str">
        <f>IF('Salesforce Dump'!B283&lt;&gt;"",'Salesforce Dump'!B283,"")</f>
        <v/>
      </c>
      <c r="D286" s="48"/>
      <c r="E286" s="50" t="str">
        <f>IF('Salesforce Dump'!C283&lt;&gt;"",'Salesforce Dump'!C283,"")</f>
        <v/>
      </c>
      <c r="F286" s="49" t="str">
        <f>IF('Salesforce Dump'!D283&lt;&gt;"",'Salesforce Dump'!D283,"")</f>
        <v/>
      </c>
      <c r="G286" s="49" t="str">
        <f>IF('Salesforce Dump'!E283&lt;&gt;"",'Salesforce Dump'!E283,"")</f>
        <v/>
      </c>
      <c r="H286" s="49" t="str">
        <f>IF('Salesforce Dump'!G283&lt;&gt;"",'Salesforce Dump'!G283,"")</f>
        <v/>
      </c>
      <c r="I286" s="49" t="str">
        <f>IF('Salesforce Dump'!H283&lt;&gt;"",'Salesforce Dump'!H283,"")</f>
        <v/>
      </c>
      <c r="J286" s="51" t="str">
        <f>IF('Salesforce Dump'!I283&lt;&gt;"",'Salesforce Dump'!I283,"")</f>
        <v/>
      </c>
      <c r="K286" s="51" t="str">
        <f>IF('Salesforce Dump'!J283&lt;&gt;"",'Salesforce Dump'!J283,"")</f>
        <v/>
      </c>
      <c r="L286" s="52" t="str">
        <f>IFERROR(INDEX('OBA Dump'!C:C,MATCH($E286*1,'OBA Dump'!$A:$A,0)),"")</f>
        <v/>
      </c>
      <c r="M286" s="52" t="str">
        <f>IFERROR(INDEX('OBA Dump'!D:D,MATCH($E286*1,'OBA Dump'!$A:$A,0)),"")</f>
        <v/>
      </c>
      <c r="N286" s="52"/>
      <c r="O286" s="52"/>
      <c r="P286" s="53"/>
      <c r="Q286" s="52"/>
      <c r="R286" s="38" t="str">
        <f>_xlfn.IFNA(VLOOKUP(E286,'Pre-Booked Holidays'!A:B,2,0),"")</f>
        <v/>
      </c>
      <c r="S286" s="38" t="str">
        <f>IF(E286="","",IF(IFERROR(VLOOKUP(E286,'Onbase Report'!D:E,2,0),"")&lt;&gt;"","Details in Onbase","No Details"))</f>
        <v/>
      </c>
      <c r="T286" s="38" t="str">
        <f>IF(LEFT('Salesforce Dump'!Q283,5)="BHX10",LEFT('Salesforce Dump'!Q283,5),LEFT('Salesforce Dump'!Q283,4))</f>
        <v/>
      </c>
      <c r="U286" s="38"/>
    </row>
    <row r="287" spans="1:21" ht="14.5" x14ac:dyDescent="0.35">
      <c r="A287" s="47" t="str">
        <f>IF('Salesforce Dump'!A284&lt;&gt;"",'Salesforce Dump'!A284,"")</f>
        <v/>
      </c>
      <c r="B287" s="48"/>
      <c r="C287" s="49" t="str">
        <f>IF('Salesforce Dump'!B284&lt;&gt;"",'Salesforce Dump'!B284,"")</f>
        <v/>
      </c>
      <c r="D287" s="48"/>
      <c r="E287" s="50" t="str">
        <f>IF('Salesforce Dump'!C284&lt;&gt;"",'Salesforce Dump'!C284,"")</f>
        <v/>
      </c>
      <c r="F287" s="49" t="str">
        <f>IF('Salesforce Dump'!D284&lt;&gt;"",'Salesforce Dump'!D284,"")</f>
        <v/>
      </c>
      <c r="G287" s="49" t="str">
        <f>IF('Salesforce Dump'!E284&lt;&gt;"",'Salesforce Dump'!E284,"")</f>
        <v/>
      </c>
      <c r="H287" s="49" t="str">
        <f>IF('Salesforce Dump'!G284&lt;&gt;"",'Salesforce Dump'!G284,"")</f>
        <v/>
      </c>
      <c r="I287" s="49" t="str">
        <f>IF('Salesforce Dump'!H284&lt;&gt;"",'Salesforce Dump'!H284,"")</f>
        <v/>
      </c>
      <c r="J287" s="51" t="str">
        <f>IF('Salesforce Dump'!I284&lt;&gt;"",'Salesforce Dump'!I284,"")</f>
        <v/>
      </c>
      <c r="K287" s="51" t="str">
        <f>IF('Salesforce Dump'!J284&lt;&gt;"",'Salesforce Dump'!J284,"")</f>
        <v/>
      </c>
      <c r="L287" s="52" t="str">
        <f>IFERROR(INDEX('OBA Dump'!C:C,MATCH($E287*1,'OBA Dump'!$A:$A,0)),"")</f>
        <v/>
      </c>
      <c r="M287" s="52" t="str">
        <f>IFERROR(INDEX('OBA Dump'!D:D,MATCH($E287*1,'OBA Dump'!$A:$A,0)),"")</f>
        <v/>
      </c>
      <c r="N287" s="52"/>
      <c r="O287" s="52"/>
      <c r="P287" s="53"/>
      <c r="Q287" s="52"/>
      <c r="R287" s="38" t="str">
        <f>_xlfn.IFNA(VLOOKUP(E287,'Pre-Booked Holidays'!A:B,2,0),"")</f>
        <v/>
      </c>
      <c r="S287" s="38" t="str">
        <f>IF(E287="","",IF(IFERROR(VLOOKUP(E287,'Onbase Report'!D:E,2,0),"")&lt;&gt;"","Details in Onbase","No Details"))</f>
        <v/>
      </c>
      <c r="T287" s="38" t="str">
        <f>IF(LEFT('Salesforce Dump'!Q284,5)="BHX10",LEFT('Salesforce Dump'!Q284,5),LEFT('Salesforce Dump'!Q284,4))</f>
        <v/>
      </c>
      <c r="U287" s="38"/>
    </row>
    <row r="288" spans="1:21" ht="14.5" x14ac:dyDescent="0.35">
      <c r="A288" s="47" t="str">
        <f>IF('Salesforce Dump'!A285&lt;&gt;"",'Salesforce Dump'!A285,"")</f>
        <v/>
      </c>
      <c r="B288" s="48"/>
      <c r="C288" s="49" t="str">
        <f>IF('Salesforce Dump'!B285&lt;&gt;"",'Salesforce Dump'!B285,"")</f>
        <v/>
      </c>
      <c r="D288" s="48"/>
      <c r="E288" s="50" t="str">
        <f>IF('Salesforce Dump'!C285&lt;&gt;"",'Salesforce Dump'!C285,"")</f>
        <v/>
      </c>
      <c r="F288" s="49" t="str">
        <f>IF('Salesforce Dump'!D285&lt;&gt;"",'Salesforce Dump'!D285,"")</f>
        <v/>
      </c>
      <c r="G288" s="49" t="str">
        <f>IF('Salesforce Dump'!E285&lt;&gt;"",'Salesforce Dump'!E285,"")</f>
        <v/>
      </c>
      <c r="H288" s="49" t="str">
        <f>IF('Salesforce Dump'!G285&lt;&gt;"",'Salesforce Dump'!G285,"")</f>
        <v/>
      </c>
      <c r="I288" s="49" t="str">
        <f>IF('Salesforce Dump'!H285&lt;&gt;"",'Salesforce Dump'!H285,"")</f>
        <v/>
      </c>
      <c r="J288" s="51" t="str">
        <f>IF('Salesforce Dump'!I285&lt;&gt;"",'Salesforce Dump'!I285,"")</f>
        <v/>
      </c>
      <c r="K288" s="51" t="str">
        <f>IF('Salesforce Dump'!J285&lt;&gt;"",'Salesforce Dump'!J285,"")</f>
        <v/>
      </c>
      <c r="L288" s="52" t="str">
        <f>IFERROR(INDEX('OBA Dump'!C:C,MATCH($E288*1,'OBA Dump'!$A:$A,0)),"")</f>
        <v/>
      </c>
      <c r="M288" s="52" t="str">
        <f>IFERROR(INDEX('OBA Dump'!D:D,MATCH($E288*1,'OBA Dump'!$A:$A,0)),"")</f>
        <v/>
      </c>
      <c r="N288" s="52"/>
      <c r="O288" s="52"/>
      <c r="P288" s="53"/>
      <c r="Q288" s="52"/>
      <c r="R288" s="38" t="str">
        <f>_xlfn.IFNA(VLOOKUP(E288,'Pre-Booked Holidays'!A:B,2,0),"")</f>
        <v/>
      </c>
      <c r="S288" s="38" t="str">
        <f>IF(E288="","",IF(IFERROR(VLOOKUP(E288,'Onbase Report'!D:E,2,0),"")&lt;&gt;"","Details in Onbase","No Details"))</f>
        <v/>
      </c>
      <c r="T288" s="38" t="str">
        <f>IF(LEFT('Salesforce Dump'!Q285,5)="BHX10",LEFT('Salesforce Dump'!Q285,5),LEFT('Salesforce Dump'!Q285,4))</f>
        <v/>
      </c>
      <c r="U288" s="38"/>
    </row>
    <row r="289" spans="1:21" ht="14.5" x14ac:dyDescent="0.35">
      <c r="A289" s="47" t="str">
        <f>IF('Salesforce Dump'!A286&lt;&gt;"",'Salesforce Dump'!A286,"")</f>
        <v/>
      </c>
      <c r="B289" s="48"/>
      <c r="C289" s="49" t="str">
        <f>IF('Salesforce Dump'!B286&lt;&gt;"",'Salesforce Dump'!B286,"")</f>
        <v/>
      </c>
      <c r="D289" s="48"/>
      <c r="E289" s="50" t="str">
        <f>IF('Salesforce Dump'!C286&lt;&gt;"",'Salesforce Dump'!C286,"")</f>
        <v/>
      </c>
      <c r="F289" s="49" t="str">
        <f>IF('Salesforce Dump'!D286&lt;&gt;"",'Salesforce Dump'!D286,"")</f>
        <v/>
      </c>
      <c r="G289" s="49" t="str">
        <f>IF('Salesforce Dump'!E286&lt;&gt;"",'Salesforce Dump'!E286,"")</f>
        <v/>
      </c>
      <c r="H289" s="49" t="str">
        <f>IF('Salesforce Dump'!G286&lt;&gt;"",'Salesforce Dump'!G286,"")</f>
        <v/>
      </c>
      <c r="I289" s="49" t="str">
        <f>IF('Salesforce Dump'!H286&lt;&gt;"",'Salesforce Dump'!H286,"")</f>
        <v/>
      </c>
      <c r="J289" s="51" t="str">
        <f>IF('Salesforce Dump'!I286&lt;&gt;"",'Salesforce Dump'!I286,"")</f>
        <v/>
      </c>
      <c r="K289" s="51" t="str">
        <f>IF('Salesforce Dump'!J286&lt;&gt;"",'Salesforce Dump'!J286,"")</f>
        <v/>
      </c>
      <c r="L289" s="52" t="str">
        <f>IFERROR(INDEX('OBA Dump'!C:C,MATCH($E289*1,'OBA Dump'!$A:$A,0)),"")</f>
        <v/>
      </c>
      <c r="M289" s="52" t="str">
        <f>IFERROR(INDEX('OBA Dump'!D:D,MATCH($E289*1,'OBA Dump'!$A:$A,0)),"")</f>
        <v/>
      </c>
      <c r="N289" s="52"/>
      <c r="O289" s="52"/>
      <c r="P289" s="53"/>
      <c r="Q289" s="52"/>
      <c r="R289" s="38" t="str">
        <f>_xlfn.IFNA(VLOOKUP(E289,'Pre-Booked Holidays'!A:B,2,0),"")</f>
        <v/>
      </c>
      <c r="S289" s="38" t="str">
        <f>IF(E289="","",IF(IFERROR(VLOOKUP(E289,'Onbase Report'!D:E,2,0),"")&lt;&gt;"","Details in Onbase","No Details"))</f>
        <v/>
      </c>
      <c r="T289" s="38" t="str">
        <f>IF(LEFT('Salesforce Dump'!Q286,5)="BHX10",LEFT('Salesforce Dump'!Q286,5),LEFT('Salesforce Dump'!Q286,4))</f>
        <v/>
      </c>
      <c r="U289" s="38"/>
    </row>
    <row r="290" spans="1:21" ht="14.5" x14ac:dyDescent="0.35">
      <c r="A290" s="47" t="str">
        <f>IF('Salesforce Dump'!A287&lt;&gt;"",'Salesforce Dump'!A287,"")</f>
        <v/>
      </c>
      <c r="B290" s="48"/>
      <c r="C290" s="49" t="str">
        <f>IF('Salesforce Dump'!B287&lt;&gt;"",'Salesforce Dump'!B287,"")</f>
        <v/>
      </c>
      <c r="D290" s="48"/>
      <c r="E290" s="50" t="str">
        <f>IF('Salesforce Dump'!C287&lt;&gt;"",'Salesforce Dump'!C287,"")</f>
        <v/>
      </c>
      <c r="F290" s="49" t="str">
        <f>IF('Salesforce Dump'!D287&lt;&gt;"",'Salesforce Dump'!D287,"")</f>
        <v/>
      </c>
      <c r="G290" s="49" t="str">
        <f>IF('Salesforce Dump'!E287&lt;&gt;"",'Salesforce Dump'!E287,"")</f>
        <v/>
      </c>
      <c r="H290" s="49" t="str">
        <f>IF('Salesforce Dump'!G287&lt;&gt;"",'Salesforce Dump'!G287,"")</f>
        <v/>
      </c>
      <c r="I290" s="49" t="str">
        <f>IF('Salesforce Dump'!H287&lt;&gt;"",'Salesforce Dump'!H287,"")</f>
        <v/>
      </c>
      <c r="J290" s="51" t="str">
        <f>IF('Salesforce Dump'!I287&lt;&gt;"",'Salesforce Dump'!I287,"")</f>
        <v/>
      </c>
      <c r="K290" s="51" t="str">
        <f>IF('Salesforce Dump'!J287&lt;&gt;"",'Salesforce Dump'!J287,"")</f>
        <v/>
      </c>
      <c r="L290" s="52" t="str">
        <f>IFERROR(INDEX('OBA Dump'!C:C,MATCH($E290*1,'OBA Dump'!$A:$A,0)),"")</f>
        <v/>
      </c>
      <c r="M290" s="52" t="str">
        <f>IFERROR(INDEX('OBA Dump'!D:D,MATCH($E290*1,'OBA Dump'!$A:$A,0)),"")</f>
        <v/>
      </c>
      <c r="N290" s="52"/>
      <c r="O290" s="52"/>
      <c r="P290" s="53"/>
      <c r="Q290" s="52"/>
      <c r="R290" s="38" t="str">
        <f>_xlfn.IFNA(VLOOKUP(E290,'Pre-Booked Holidays'!A:B,2,0),"")</f>
        <v/>
      </c>
      <c r="S290" s="38" t="str">
        <f>IF(E290="","",IF(IFERROR(VLOOKUP(E290,'Onbase Report'!D:E,2,0),"")&lt;&gt;"","Details in Onbase","No Details"))</f>
        <v/>
      </c>
      <c r="T290" s="38" t="str">
        <f>IF(LEFT('Salesforce Dump'!Q287,5)="BHX10",LEFT('Salesforce Dump'!Q287,5),LEFT('Salesforce Dump'!Q287,4))</f>
        <v/>
      </c>
      <c r="U290" s="38"/>
    </row>
    <row r="291" spans="1:21" ht="14.5" x14ac:dyDescent="0.35">
      <c r="A291" s="47" t="str">
        <f>IF('Salesforce Dump'!A288&lt;&gt;"",'Salesforce Dump'!A288,"")</f>
        <v/>
      </c>
      <c r="B291" s="48"/>
      <c r="C291" s="49" t="str">
        <f>IF('Salesforce Dump'!B288&lt;&gt;"",'Salesforce Dump'!B288,"")</f>
        <v/>
      </c>
      <c r="D291" s="48"/>
      <c r="E291" s="50" t="str">
        <f>IF('Salesforce Dump'!C288&lt;&gt;"",'Salesforce Dump'!C288,"")</f>
        <v/>
      </c>
      <c r="F291" s="49" t="str">
        <f>IF('Salesforce Dump'!D288&lt;&gt;"",'Salesforce Dump'!D288,"")</f>
        <v/>
      </c>
      <c r="G291" s="49" t="str">
        <f>IF('Salesforce Dump'!E288&lt;&gt;"",'Salesforce Dump'!E288,"")</f>
        <v/>
      </c>
      <c r="H291" s="49" t="str">
        <f>IF('Salesforce Dump'!G288&lt;&gt;"",'Salesforce Dump'!G288,"")</f>
        <v/>
      </c>
      <c r="I291" s="49" t="str">
        <f>IF('Salesforce Dump'!H288&lt;&gt;"",'Salesforce Dump'!H288,"")</f>
        <v/>
      </c>
      <c r="J291" s="51" t="str">
        <f>IF('Salesforce Dump'!I288&lt;&gt;"",'Salesforce Dump'!I288,"")</f>
        <v/>
      </c>
      <c r="K291" s="51" t="str">
        <f>IF('Salesforce Dump'!J288&lt;&gt;"",'Salesforce Dump'!J288,"")</f>
        <v/>
      </c>
      <c r="L291" s="52" t="str">
        <f>IFERROR(INDEX('OBA Dump'!C:C,MATCH($E291*1,'OBA Dump'!$A:$A,0)),"")</f>
        <v/>
      </c>
      <c r="M291" s="52" t="str">
        <f>IFERROR(INDEX('OBA Dump'!D:D,MATCH($E291*1,'OBA Dump'!$A:$A,0)),"")</f>
        <v/>
      </c>
      <c r="N291" s="52"/>
      <c r="O291" s="52"/>
      <c r="P291" s="53"/>
      <c r="Q291" s="52"/>
      <c r="R291" s="38" t="str">
        <f>_xlfn.IFNA(VLOOKUP(E291,'Pre-Booked Holidays'!A:B,2,0),"")</f>
        <v/>
      </c>
      <c r="S291" s="38" t="str">
        <f>IF(E291="","",IF(IFERROR(VLOOKUP(E291,'Onbase Report'!D:E,2,0),"")&lt;&gt;"","Details in Onbase","No Details"))</f>
        <v/>
      </c>
      <c r="T291" s="38" t="str">
        <f>IF(LEFT('Salesforce Dump'!Q288,5)="BHX10",LEFT('Salesforce Dump'!Q288,5),LEFT('Salesforce Dump'!Q288,4))</f>
        <v/>
      </c>
      <c r="U291" s="38"/>
    </row>
    <row r="292" spans="1:21" ht="14.5" x14ac:dyDescent="0.35">
      <c r="A292" s="47" t="str">
        <f>IF('Salesforce Dump'!A289&lt;&gt;"",'Salesforce Dump'!A289,"")</f>
        <v/>
      </c>
      <c r="B292" s="48"/>
      <c r="C292" s="49" t="str">
        <f>IF('Salesforce Dump'!B289&lt;&gt;"",'Salesforce Dump'!B289,"")</f>
        <v/>
      </c>
      <c r="D292" s="48"/>
      <c r="E292" s="50" t="str">
        <f>IF('Salesforce Dump'!C289&lt;&gt;"",'Salesforce Dump'!C289,"")</f>
        <v/>
      </c>
      <c r="F292" s="49" t="str">
        <f>IF('Salesforce Dump'!D289&lt;&gt;"",'Salesforce Dump'!D289,"")</f>
        <v/>
      </c>
      <c r="G292" s="49" t="str">
        <f>IF('Salesforce Dump'!E289&lt;&gt;"",'Salesforce Dump'!E289,"")</f>
        <v/>
      </c>
      <c r="H292" s="49" t="str">
        <f>IF('Salesforce Dump'!G289&lt;&gt;"",'Salesforce Dump'!G289,"")</f>
        <v/>
      </c>
      <c r="I292" s="49" t="str">
        <f>IF('Salesforce Dump'!H289&lt;&gt;"",'Salesforce Dump'!H289,"")</f>
        <v/>
      </c>
      <c r="J292" s="51" t="str">
        <f>IF('Salesforce Dump'!I289&lt;&gt;"",'Salesforce Dump'!I289,"")</f>
        <v/>
      </c>
      <c r="K292" s="51" t="str">
        <f>IF('Salesforce Dump'!J289&lt;&gt;"",'Salesforce Dump'!J289,"")</f>
        <v/>
      </c>
      <c r="L292" s="52" t="str">
        <f>IFERROR(INDEX('OBA Dump'!C:C,MATCH($E292*1,'OBA Dump'!$A:$A,0)),"")</f>
        <v/>
      </c>
      <c r="M292" s="52" t="str">
        <f>IFERROR(INDEX('OBA Dump'!D:D,MATCH($E292*1,'OBA Dump'!$A:$A,0)),"")</f>
        <v/>
      </c>
      <c r="N292" s="52"/>
      <c r="O292" s="52"/>
      <c r="P292" s="53"/>
      <c r="Q292" s="52"/>
      <c r="R292" s="38" t="str">
        <f>_xlfn.IFNA(VLOOKUP(E292,'Pre-Booked Holidays'!A:B,2,0),"")</f>
        <v/>
      </c>
      <c r="S292" s="38" t="str">
        <f>IF(E292="","",IF(IFERROR(VLOOKUP(E292,'Onbase Report'!D:E,2,0),"")&lt;&gt;"","Details in Onbase","No Details"))</f>
        <v/>
      </c>
      <c r="T292" s="38" t="str">
        <f>IF(LEFT('Salesforce Dump'!Q289,5)="BHX10",LEFT('Salesforce Dump'!Q289,5),LEFT('Salesforce Dump'!Q289,4))</f>
        <v/>
      </c>
      <c r="U292" s="38"/>
    </row>
    <row r="293" spans="1:21" ht="14.5" x14ac:dyDescent="0.35">
      <c r="A293" s="47" t="str">
        <f>IF('Salesforce Dump'!A290&lt;&gt;"",'Salesforce Dump'!A290,"")</f>
        <v/>
      </c>
      <c r="B293" s="48"/>
      <c r="C293" s="49" t="str">
        <f>IF('Salesforce Dump'!B290&lt;&gt;"",'Salesforce Dump'!B290,"")</f>
        <v/>
      </c>
      <c r="D293" s="48"/>
      <c r="E293" s="50" t="str">
        <f>IF('Salesforce Dump'!C290&lt;&gt;"",'Salesforce Dump'!C290,"")</f>
        <v/>
      </c>
      <c r="F293" s="49" t="str">
        <f>IF('Salesforce Dump'!D290&lt;&gt;"",'Salesforce Dump'!D290,"")</f>
        <v/>
      </c>
      <c r="G293" s="49" t="str">
        <f>IF('Salesforce Dump'!E290&lt;&gt;"",'Salesforce Dump'!E290,"")</f>
        <v/>
      </c>
      <c r="H293" s="49" t="str">
        <f>IF('Salesforce Dump'!G290&lt;&gt;"",'Salesforce Dump'!G290,"")</f>
        <v/>
      </c>
      <c r="I293" s="49" t="str">
        <f>IF('Salesforce Dump'!H290&lt;&gt;"",'Salesforce Dump'!H290,"")</f>
        <v/>
      </c>
      <c r="J293" s="51" t="str">
        <f>IF('Salesforce Dump'!I290&lt;&gt;"",'Salesforce Dump'!I290,"")</f>
        <v/>
      </c>
      <c r="K293" s="51" t="str">
        <f>IF('Salesforce Dump'!J290&lt;&gt;"",'Salesforce Dump'!J290,"")</f>
        <v/>
      </c>
      <c r="L293" s="52" t="str">
        <f>IFERROR(INDEX('OBA Dump'!C:C,MATCH($E293*1,'OBA Dump'!$A:$A,0)),"")</f>
        <v/>
      </c>
      <c r="M293" s="52" t="str">
        <f>IFERROR(INDEX('OBA Dump'!D:D,MATCH($E293*1,'OBA Dump'!$A:$A,0)),"")</f>
        <v/>
      </c>
      <c r="N293" s="52"/>
      <c r="O293" s="52"/>
      <c r="P293" s="53"/>
      <c r="Q293" s="52"/>
      <c r="R293" s="38" t="str">
        <f>_xlfn.IFNA(VLOOKUP(E293,'Pre-Booked Holidays'!A:B,2,0),"")</f>
        <v/>
      </c>
      <c r="S293" s="38" t="str">
        <f>IF(E293="","",IF(IFERROR(VLOOKUP(E293,'Onbase Report'!D:E,2,0),"")&lt;&gt;"","Details in Onbase","No Details"))</f>
        <v/>
      </c>
      <c r="T293" s="38" t="str">
        <f>IF(LEFT('Salesforce Dump'!Q290,5)="BHX10",LEFT('Salesforce Dump'!Q290,5),LEFT('Salesforce Dump'!Q290,4))</f>
        <v/>
      </c>
      <c r="U293" s="38"/>
    </row>
    <row r="294" spans="1:21" ht="14.5" x14ac:dyDescent="0.35">
      <c r="A294" s="47" t="str">
        <f>IF('Salesforce Dump'!A291&lt;&gt;"",'Salesforce Dump'!A291,"")</f>
        <v/>
      </c>
      <c r="B294" s="48"/>
      <c r="C294" s="49" t="str">
        <f>IF('Salesforce Dump'!B291&lt;&gt;"",'Salesforce Dump'!B291,"")</f>
        <v/>
      </c>
      <c r="D294" s="48"/>
      <c r="E294" s="50" t="str">
        <f>IF('Salesforce Dump'!C291&lt;&gt;"",'Salesforce Dump'!C291,"")</f>
        <v/>
      </c>
      <c r="F294" s="49" t="str">
        <f>IF('Salesforce Dump'!D291&lt;&gt;"",'Salesforce Dump'!D291,"")</f>
        <v/>
      </c>
      <c r="G294" s="49" t="str">
        <f>IF('Salesforce Dump'!E291&lt;&gt;"",'Salesforce Dump'!E291,"")</f>
        <v/>
      </c>
      <c r="H294" s="49" t="str">
        <f>IF('Salesforce Dump'!G291&lt;&gt;"",'Salesforce Dump'!G291,"")</f>
        <v/>
      </c>
      <c r="I294" s="49" t="str">
        <f>IF('Salesforce Dump'!H291&lt;&gt;"",'Salesforce Dump'!H291,"")</f>
        <v/>
      </c>
      <c r="J294" s="51" t="str">
        <f>IF('Salesforce Dump'!I291&lt;&gt;"",'Salesforce Dump'!I291,"")</f>
        <v/>
      </c>
      <c r="K294" s="51" t="str">
        <f>IF('Salesforce Dump'!J291&lt;&gt;"",'Salesforce Dump'!J291,"")</f>
        <v/>
      </c>
      <c r="L294" s="52" t="str">
        <f>IFERROR(INDEX('OBA Dump'!C:C,MATCH($E294*1,'OBA Dump'!$A:$A,0)),"")</f>
        <v/>
      </c>
      <c r="M294" s="52" t="str">
        <f>IFERROR(INDEX('OBA Dump'!D:D,MATCH($E294*1,'OBA Dump'!$A:$A,0)),"")</f>
        <v/>
      </c>
      <c r="N294" s="52"/>
      <c r="O294" s="52"/>
      <c r="P294" s="53"/>
      <c r="Q294" s="52"/>
      <c r="R294" s="38" t="str">
        <f>_xlfn.IFNA(VLOOKUP(E294,'Pre-Booked Holidays'!A:B,2,0),"")</f>
        <v/>
      </c>
      <c r="S294" s="38" t="str">
        <f>IF(E294="","",IF(IFERROR(VLOOKUP(E294,'Onbase Report'!D:E,2,0),"")&lt;&gt;"","Details in Onbase","No Details"))</f>
        <v/>
      </c>
      <c r="T294" s="38" t="str">
        <f>IF(LEFT('Salesforce Dump'!Q291,5)="BHX10",LEFT('Salesforce Dump'!Q291,5),LEFT('Salesforce Dump'!Q291,4))</f>
        <v/>
      </c>
      <c r="U294" s="38"/>
    </row>
    <row r="295" spans="1:21" ht="14.5" x14ac:dyDescent="0.35">
      <c r="A295" s="47" t="str">
        <f>IF('Salesforce Dump'!A292&lt;&gt;"",'Salesforce Dump'!A292,"")</f>
        <v/>
      </c>
      <c r="B295" s="48"/>
      <c r="C295" s="49" t="str">
        <f>IF('Salesforce Dump'!B292&lt;&gt;"",'Salesforce Dump'!B292,"")</f>
        <v/>
      </c>
      <c r="D295" s="48"/>
      <c r="E295" s="50" t="str">
        <f>IF('Salesforce Dump'!C292&lt;&gt;"",'Salesforce Dump'!C292,"")</f>
        <v/>
      </c>
      <c r="F295" s="49" t="str">
        <f>IF('Salesforce Dump'!D292&lt;&gt;"",'Salesforce Dump'!D292,"")</f>
        <v/>
      </c>
      <c r="G295" s="49" t="str">
        <f>IF('Salesforce Dump'!E292&lt;&gt;"",'Salesforce Dump'!E292,"")</f>
        <v/>
      </c>
      <c r="H295" s="49" t="str">
        <f>IF('Salesforce Dump'!G292&lt;&gt;"",'Salesforce Dump'!G292,"")</f>
        <v/>
      </c>
      <c r="I295" s="49" t="str">
        <f>IF('Salesforce Dump'!H292&lt;&gt;"",'Salesforce Dump'!H292,"")</f>
        <v/>
      </c>
      <c r="J295" s="51" t="str">
        <f>IF('Salesforce Dump'!I292&lt;&gt;"",'Salesforce Dump'!I292,"")</f>
        <v/>
      </c>
      <c r="K295" s="51" t="str">
        <f>IF('Salesforce Dump'!J292&lt;&gt;"",'Salesforce Dump'!J292,"")</f>
        <v/>
      </c>
      <c r="L295" s="52" t="str">
        <f>IFERROR(INDEX('OBA Dump'!C:C,MATCH($E295*1,'OBA Dump'!$A:$A,0)),"")</f>
        <v/>
      </c>
      <c r="M295" s="52" t="str">
        <f>IFERROR(INDEX('OBA Dump'!D:D,MATCH($E295*1,'OBA Dump'!$A:$A,0)),"")</f>
        <v/>
      </c>
      <c r="N295" s="52"/>
      <c r="O295" s="52"/>
      <c r="P295" s="53"/>
      <c r="Q295" s="52"/>
      <c r="R295" s="38" t="str">
        <f>_xlfn.IFNA(VLOOKUP(E295,'Pre-Booked Holidays'!A:B,2,0),"")</f>
        <v/>
      </c>
      <c r="S295" s="38" t="str">
        <f>IF(E295="","",IF(IFERROR(VLOOKUP(E295,'Onbase Report'!D:E,2,0),"")&lt;&gt;"","Details in Onbase","No Details"))</f>
        <v/>
      </c>
      <c r="T295" s="38" t="str">
        <f>IF(LEFT('Salesforce Dump'!Q292,5)="BHX10",LEFT('Salesforce Dump'!Q292,5),LEFT('Salesforce Dump'!Q292,4))</f>
        <v/>
      </c>
      <c r="U295" s="38"/>
    </row>
    <row r="296" spans="1:21" ht="14.5" x14ac:dyDescent="0.35">
      <c r="A296" s="47" t="str">
        <f>IF('Salesforce Dump'!A293&lt;&gt;"",'Salesforce Dump'!A293,"")</f>
        <v/>
      </c>
      <c r="B296" s="48"/>
      <c r="C296" s="49" t="str">
        <f>IF('Salesforce Dump'!B293&lt;&gt;"",'Salesforce Dump'!B293,"")</f>
        <v/>
      </c>
      <c r="D296" s="48"/>
      <c r="E296" s="50" t="str">
        <f>IF('Salesforce Dump'!C293&lt;&gt;"",'Salesforce Dump'!C293,"")</f>
        <v/>
      </c>
      <c r="F296" s="49" t="str">
        <f>IF('Salesforce Dump'!D293&lt;&gt;"",'Salesforce Dump'!D293,"")</f>
        <v/>
      </c>
      <c r="G296" s="49" t="str">
        <f>IF('Salesforce Dump'!E293&lt;&gt;"",'Salesforce Dump'!E293,"")</f>
        <v/>
      </c>
      <c r="H296" s="49" t="str">
        <f>IF('Salesforce Dump'!G293&lt;&gt;"",'Salesforce Dump'!G293,"")</f>
        <v/>
      </c>
      <c r="I296" s="49" t="str">
        <f>IF('Salesforce Dump'!H293&lt;&gt;"",'Salesforce Dump'!H293,"")</f>
        <v/>
      </c>
      <c r="J296" s="51" t="str">
        <f>IF('Salesforce Dump'!I293&lt;&gt;"",'Salesforce Dump'!I293,"")</f>
        <v/>
      </c>
      <c r="K296" s="51" t="str">
        <f>IF('Salesforce Dump'!J293&lt;&gt;"",'Salesforce Dump'!J293,"")</f>
        <v/>
      </c>
      <c r="L296" s="52" t="str">
        <f>IFERROR(INDEX('OBA Dump'!C:C,MATCH($E296*1,'OBA Dump'!$A:$A,0)),"")</f>
        <v/>
      </c>
      <c r="M296" s="52" t="str">
        <f>IFERROR(INDEX('OBA Dump'!D:D,MATCH($E296*1,'OBA Dump'!$A:$A,0)),"")</f>
        <v/>
      </c>
      <c r="N296" s="52"/>
      <c r="O296" s="52"/>
      <c r="P296" s="53"/>
      <c r="Q296" s="52"/>
      <c r="R296" s="38" t="str">
        <f>_xlfn.IFNA(VLOOKUP(E296,'Pre-Booked Holidays'!A:B,2,0),"")</f>
        <v/>
      </c>
      <c r="S296" s="38" t="str">
        <f>IF(E296="","",IF(IFERROR(VLOOKUP(E296,'Onbase Report'!D:E,2,0),"")&lt;&gt;"","Details in Onbase","No Details"))</f>
        <v/>
      </c>
      <c r="T296" s="38" t="str">
        <f>IF(LEFT('Salesforce Dump'!Q293,5)="BHX10",LEFT('Salesforce Dump'!Q293,5),LEFT('Salesforce Dump'!Q293,4))</f>
        <v/>
      </c>
      <c r="U296" s="38"/>
    </row>
    <row r="297" spans="1:21" ht="14.5" x14ac:dyDescent="0.35">
      <c r="A297" s="47" t="str">
        <f>IF('Salesforce Dump'!A294&lt;&gt;"",'Salesforce Dump'!A294,"")</f>
        <v/>
      </c>
      <c r="B297" s="48"/>
      <c r="C297" s="49" t="str">
        <f>IF('Salesforce Dump'!B294&lt;&gt;"",'Salesforce Dump'!B294,"")</f>
        <v/>
      </c>
      <c r="D297" s="48"/>
      <c r="E297" s="50" t="str">
        <f>IF('Salesforce Dump'!C294&lt;&gt;"",'Salesforce Dump'!C294,"")</f>
        <v/>
      </c>
      <c r="F297" s="49" t="str">
        <f>IF('Salesforce Dump'!D294&lt;&gt;"",'Salesforce Dump'!D294,"")</f>
        <v/>
      </c>
      <c r="G297" s="49" t="str">
        <f>IF('Salesforce Dump'!E294&lt;&gt;"",'Salesforce Dump'!E294,"")</f>
        <v/>
      </c>
      <c r="H297" s="49" t="str">
        <f>IF('Salesforce Dump'!G294&lt;&gt;"",'Salesforce Dump'!G294,"")</f>
        <v/>
      </c>
      <c r="I297" s="49" t="str">
        <f>IF('Salesforce Dump'!H294&lt;&gt;"",'Salesforce Dump'!H294,"")</f>
        <v/>
      </c>
      <c r="J297" s="51" t="str">
        <f>IF('Salesforce Dump'!I294&lt;&gt;"",'Salesforce Dump'!I294,"")</f>
        <v/>
      </c>
      <c r="K297" s="51" t="str">
        <f>IF('Salesforce Dump'!J294&lt;&gt;"",'Salesforce Dump'!J294,"")</f>
        <v/>
      </c>
      <c r="L297" s="52" t="str">
        <f>IFERROR(INDEX('OBA Dump'!C:C,MATCH($E297*1,'OBA Dump'!$A:$A,0)),"")</f>
        <v/>
      </c>
      <c r="M297" s="52" t="str">
        <f>IFERROR(INDEX('OBA Dump'!D:D,MATCH($E297*1,'OBA Dump'!$A:$A,0)),"")</f>
        <v/>
      </c>
      <c r="N297" s="52"/>
      <c r="O297" s="52"/>
      <c r="P297" s="53"/>
      <c r="Q297" s="52"/>
      <c r="R297" s="38" t="str">
        <f>_xlfn.IFNA(VLOOKUP(E297,'Pre-Booked Holidays'!A:B,2,0),"")</f>
        <v/>
      </c>
      <c r="S297" s="38" t="str">
        <f>IF(E297="","",IF(IFERROR(VLOOKUP(E297,'Onbase Report'!D:E,2,0),"")&lt;&gt;"","Details in Onbase","No Details"))</f>
        <v/>
      </c>
      <c r="T297" s="38" t="str">
        <f>IF(LEFT('Salesforce Dump'!Q294,5)="BHX10",LEFT('Salesforce Dump'!Q294,5),LEFT('Salesforce Dump'!Q294,4))</f>
        <v/>
      </c>
      <c r="U297" s="38"/>
    </row>
    <row r="298" spans="1:21" ht="14.5" x14ac:dyDescent="0.35">
      <c r="A298" s="47" t="str">
        <f>IF('Salesforce Dump'!A295&lt;&gt;"",'Salesforce Dump'!A295,"")</f>
        <v/>
      </c>
      <c r="B298" s="48"/>
      <c r="C298" s="49" t="str">
        <f>IF('Salesforce Dump'!B295&lt;&gt;"",'Salesforce Dump'!B295,"")</f>
        <v/>
      </c>
      <c r="D298" s="48"/>
      <c r="E298" s="50" t="str">
        <f>IF('Salesforce Dump'!C295&lt;&gt;"",'Salesforce Dump'!C295,"")</f>
        <v/>
      </c>
      <c r="F298" s="49" t="str">
        <f>IF('Salesforce Dump'!D295&lt;&gt;"",'Salesforce Dump'!D295,"")</f>
        <v/>
      </c>
      <c r="G298" s="49" t="str">
        <f>IF('Salesforce Dump'!E295&lt;&gt;"",'Salesforce Dump'!E295,"")</f>
        <v/>
      </c>
      <c r="H298" s="49" t="str">
        <f>IF('Salesforce Dump'!G295&lt;&gt;"",'Salesforce Dump'!G295,"")</f>
        <v/>
      </c>
      <c r="I298" s="49" t="str">
        <f>IF('Salesforce Dump'!H295&lt;&gt;"",'Salesforce Dump'!H295,"")</f>
        <v/>
      </c>
      <c r="J298" s="51" t="str">
        <f>IF('Salesforce Dump'!I295&lt;&gt;"",'Salesforce Dump'!I295,"")</f>
        <v/>
      </c>
      <c r="K298" s="51" t="str">
        <f>IF('Salesforce Dump'!J295&lt;&gt;"",'Salesforce Dump'!J295,"")</f>
        <v/>
      </c>
      <c r="L298" s="52" t="str">
        <f>IFERROR(INDEX('OBA Dump'!C:C,MATCH($E298*1,'OBA Dump'!$A:$A,0)),"")</f>
        <v/>
      </c>
      <c r="M298" s="52" t="str">
        <f>IFERROR(INDEX('OBA Dump'!D:D,MATCH($E298*1,'OBA Dump'!$A:$A,0)),"")</f>
        <v/>
      </c>
      <c r="N298" s="52"/>
      <c r="O298" s="52"/>
      <c r="P298" s="53"/>
      <c r="Q298" s="52"/>
      <c r="R298" s="38" t="str">
        <f>_xlfn.IFNA(VLOOKUP(E298,'Pre-Booked Holidays'!A:B,2,0),"")</f>
        <v/>
      </c>
      <c r="S298" s="38" t="str">
        <f>IF(E298="","",IF(IFERROR(VLOOKUP(E298,'Onbase Report'!D:E,2,0),"")&lt;&gt;"","Details in Onbase","No Details"))</f>
        <v/>
      </c>
      <c r="T298" s="38" t="str">
        <f>IF(LEFT('Salesforce Dump'!Q295,5)="BHX10",LEFT('Salesforce Dump'!Q295,5),LEFT('Salesforce Dump'!Q295,4))</f>
        <v/>
      </c>
      <c r="U298" s="38"/>
    </row>
    <row r="299" spans="1:21" ht="14.5" x14ac:dyDescent="0.35">
      <c r="A299" s="47" t="str">
        <f>IF('Salesforce Dump'!A296&lt;&gt;"",'Salesforce Dump'!A296,"")</f>
        <v/>
      </c>
      <c r="B299" s="48"/>
      <c r="C299" s="49" t="str">
        <f>IF('Salesforce Dump'!B296&lt;&gt;"",'Salesforce Dump'!B296,"")</f>
        <v/>
      </c>
      <c r="D299" s="48"/>
      <c r="E299" s="50" t="str">
        <f>IF('Salesforce Dump'!C296&lt;&gt;"",'Salesforce Dump'!C296,"")</f>
        <v/>
      </c>
      <c r="F299" s="49" t="str">
        <f>IF('Salesforce Dump'!D296&lt;&gt;"",'Salesforce Dump'!D296,"")</f>
        <v/>
      </c>
      <c r="G299" s="49" t="str">
        <f>IF('Salesforce Dump'!E296&lt;&gt;"",'Salesforce Dump'!E296,"")</f>
        <v/>
      </c>
      <c r="H299" s="49" t="str">
        <f>IF('Salesforce Dump'!G296&lt;&gt;"",'Salesforce Dump'!G296,"")</f>
        <v/>
      </c>
      <c r="I299" s="49" t="str">
        <f>IF('Salesforce Dump'!H296&lt;&gt;"",'Salesforce Dump'!H296,"")</f>
        <v/>
      </c>
      <c r="J299" s="51" t="str">
        <f>IF('Salesforce Dump'!I296&lt;&gt;"",'Salesforce Dump'!I296,"")</f>
        <v/>
      </c>
      <c r="K299" s="51" t="str">
        <f>IF('Salesforce Dump'!J296&lt;&gt;"",'Salesforce Dump'!J296,"")</f>
        <v/>
      </c>
      <c r="L299" s="52" t="str">
        <f>IFERROR(INDEX('OBA Dump'!C:C,MATCH($E299*1,'OBA Dump'!$A:$A,0)),"")</f>
        <v/>
      </c>
      <c r="M299" s="52" t="str">
        <f>IFERROR(INDEX('OBA Dump'!D:D,MATCH($E299*1,'OBA Dump'!$A:$A,0)),"")</f>
        <v/>
      </c>
      <c r="N299" s="52"/>
      <c r="O299" s="52"/>
      <c r="P299" s="53"/>
      <c r="Q299" s="52"/>
      <c r="R299" s="38" t="str">
        <f>_xlfn.IFNA(VLOOKUP(E299,'Pre-Booked Holidays'!A:B,2,0),"")</f>
        <v/>
      </c>
      <c r="S299" s="38" t="str">
        <f>IF(E299="","",IF(IFERROR(VLOOKUP(E299,'Onbase Report'!D:E,2,0),"")&lt;&gt;"","Details in Onbase","No Details"))</f>
        <v/>
      </c>
      <c r="T299" s="38" t="str">
        <f>IF(LEFT('Salesforce Dump'!Q296,5)="BHX10",LEFT('Salesforce Dump'!Q296,5),LEFT('Salesforce Dump'!Q296,4))</f>
        <v/>
      </c>
      <c r="U299" s="38"/>
    </row>
    <row r="300" spans="1:21" ht="14.5" x14ac:dyDescent="0.35">
      <c r="A300" s="47" t="str">
        <f>IF('Salesforce Dump'!A297&lt;&gt;"",'Salesforce Dump'!A297,"")</f>
        <v/>
      </c>
      <c r="B300" s="48"/>
      <c r="C300" s="49" t="str">
        <f>IF('Salesforce Dump'!B297&lt;&gt;"",'Salesforce Dump'!B297,"")</f>
        <v/>
      </c>
      <c r="D300" s="48"/>
      <c r="E300" s="50" t="str">
        <f>IF('Salesforce Dump'!C297&lt;&gt;"",'Salesforce Dump'!C297,"")</f>
        <v/>
      </c>
      <c r="F300" s="49" t="str">
        <f>IF('Salesforce Dump'!D297&lt;&gt;"",'Salesforce Dump'!D297,"")</f>
        <v/>
      </c>
      <c r="G300" s="49" t="str">
        <f>IF('Salesforce Dump'!E297&lt;&gt;"",'Salesforce Dump'!E297,"")</f>
        <v/>
      </c>
      <c r="H300" s="49" t="str">
        <f>IF('Salesforce Dump'!G297&lt;&gt;"",'Salesforce Dump'!G297,"")</f>
        <v/>
      </c>
      <c r="I300" s="49" t="str">
        <f>IF('Salesforce Dump'!H297&lt;&gt;"",'Salesforce Dump'!H297,"")</f>
        <v/>
      </c>
      <c r="J300" s="51" t="str">
        <f>IF('Salesforce Dump'!I297&lt;&gt;"",'Salesforce Dump'!I297,"")</f>
        <v/>
      </c>
      <c r="K300" s="51" t="str">
        <f>IF('Salesforce Dump'!J297&lt;&gt;"",'Salesforce Dump'!J297,"")</f>
        <v/>
      </c>
      <c r="L300" s="52" t="str">
        <f>IFERROR(INDEX('OBA Dump'!C:C,MATCH($E300*1,'OBA Dump'!$A:$A,0)),"")</f>
        <v/>
      </c>
      <c r="M300" s="52" t="str">
        <f>IFERROR(INDEX('OBA Dump'!D:D,MATCH($E300*1,'OBA Dump'!$A:$A,0)),"")</f>
        <v/>
      </c>
      <c r="N300" s="52"/>
      <c r="O300" s="52"/>
      <c r="P300" s="53"/>
      <c r="Q300" s="52"/>
      <c r="R300" s="38" t="str">
        <f>_xlfn.IFNA(VLOOKUP(E300,'Pre-Booked Holidays'!A:B,2,0),"")</f>
        <v/>
      </c>
      <c r="S300" s="38" t="str">
        <f>IF(E300="","",IF(IFERROR(VLOOKUP(E300,'Onbase Report'!D:E,2,0),"")&lt;&gt;"","Details in Onbase","No Details"))</f>
        <v/>
      </c>
      <c r="T300" s="38" t="str">
        <f>IF(LEFT('Salesforce Dump'!Q297,5)="BHX10",LEFT('Salesforce Dump'!Q297,5),LEFT('Salesforce Dump'!Q297,4))</f>
        <v/>
      </c>
      <c r="U300" s="38"/>
    </row>
    <row r="301" spans="1:21" ht="14.5" x14ac:dyDescent="0.35">
      <c r="A301" s="47" t="str">
        <f>IF('Salesforce Dump'!A298&lt;&gt;"",'Salesforce Dump'!A298,"")</f>
        <v/>
      </c>
      <c r="B301" s="48"/>
      <c r="C301" s="49" t="str">
        <f>IF('Salesforce Dump'!B298&lt;&gt;"",'Salesforce Dump'!B298,"")</f>
        <v/>
      </c>
      <c r="D301" s="48"/>
      <c r="E301" s="50" t="str">
        <f>IF('Salesforce Dump'!C298&lt;&gt;"",'Salesforce Dump'!C298,"")</f>
        <v/>
      </c>
      <c r="F301" s="49" t="str">
        <f>IF('Salesforce Dump'!D298&lt;&gt;"",'Salesforce Dump'!D298,"")</f>
        <v/>
      </c>
      <c r="G301" s="49" t="str">
        <f>IF('Salesforce Dump'!E298&lt;&gt;"",'Salesforce Dump'!E298,"")</f>
        <v/>
      </c>
      <c r="H301" s="49" t="str">
        <f>IF('Salesforce Dump'!G298&lt;&gt;"",'Salesforce Dump'!G298,"")</f>
        <v/>
      </c>
      <c r="I301" s="49" t="str">
        <f>IF('Salesforce Dump'!H298&lt;&gt;"",'Salesforce Dump'!H298,"")</f>
        <v/>
      </c>
      <c r="J301" s="51" t="str">
        <f>IF('Salesforce Dump'!I298&lt;&gt;"",'Salesforce Dump'!I298,"")</f>
        <v/>
      </c>
      <c r="K301" s="51" t="str">
        <f>IF('Salesforce Dump'!J298&lt;&gt;"",'Salesforce Dump'!J298,"")</f>
        <v/>
      </c>
      <c r="L301" s="52" t="str">
        <f>IFERROR(INDEX('OBA Dump'!C:C,MATCH($E301*1,'OBA Dump'!$A:$A,0)),"")</f>
        <v/>
      </c>
      <c r="M301" s="52" t="str">
        <f>IFERROR(INDEX('OBA Dump'!D:D,MATCH($E301*1,'OBA Dump'!$A:$A,0)),"")</f>
        <v/>
      </c>
      <c r="N301" s="52"/>
      <c r="O301" s="52"/>
      <c r="P301" s="53"/>
      <c r="Q301" s="52"/>
      <c r="R301" s="38" t="str">
        <f>_xlfn.IFNA(VLOOKUP(E301,'Pre-Booked Holidays'!A:B,2,0),"")</f>
        <v/>
      </c>
      <c r="S301" s="38" t="str">
        <f>IF(E301="","",IF(IFERROR(VLOOKUP(E301,'Onbase Report'!D:E,2,0),"")&lt;&gt;"","Details in Onbase","No Details"))</f>
        <v/>
      </c>
      <c r="T301" s="38" t="str">
        <f>IF(LEFT('Salesforce Dump'!Q298,5)="BHX10",LEFT('Salesforce Dump'!Q298,5),LEFT('Salesforce Dump'!Q298,4))</f>
        <v/>
      </c>
      <c r="U301" s="38"/>
    </row>
    <row r="302" spans="1:21" ht="14.5" x14ac:dyDescent="0.35">
      <c r="A302" s="47" t="str">
        <f>IF('Salesforce Dump'!A299&lt;&gt;"",'Salesforce Dump'!A299,"")</f>
        <v/>
      </c>
      <c r="B302" s="48"/>
      <c r="C302" s="49" t="str">
        <f>IF('Salesforce Dump'!B299&lt;&gt;"",'Salesforce Dump'!B299,"")</f>
        <v/>
      </c>
      <c r="D302" s="48"/>
      <c r="E302" s="50" t="str">
        <f>IF('Salesforce Dump'!C299&lt;&gt;"",'Salesforce Dump'!C299,"")</f>
        <v/>
      </c>
      <c r="F302" s="49" t="str">
        <f>IF('Salesforce Dump'!D299&lt;&gt;"",'Salesforce Dump'!D299,"")</f>
        <v/>
      </c>
      <c r="G302" s="49" t="str">
        <f>IF('Salesforce Dump'!E299&lt;&gt;"",'Salesforce Dump'!E299,"")</f>
        <v/>
      </c>
      <c r="H302" s="49" t="str">
        <f>IF('Salesforce Dump'!G299&lt;&gt;"",'Salesforce Dump'!G299,"")</f>
        <v/>
      </c>
      <c r="I302" s="49" t="str">
        <f>IF('Salesforce Dump'!H299&lt;&gt;"",'Salesforce Dump'!H299,"")</f>
        <v/>
      </c>
      <c r="J302" s="51" t="str">
        <f>IF('Salesforce Dump'!I299&lt;&gt;"",'Salesforce Dump'!I299,"")</f>
        <v/>
      </c>
      <c r="K302" s="51" t="str">
        <f>IF('Salesforce Dump'!J299&lt;&gt;"",'Salesforce Dump'!J299,"")</f>
        <v/>
      </c>
      <c r="L302" s="52" t="str">
        <f>IFERROR(INDEX('OBA Dump'!C:C,MATCH($E302*1,'OBA Dump'!$A:$A,0)),"")</f>
        <v/>
      </c>
      <c r="M302" s="52" t="str">
        <f>IFERROR(INDEX('OBA Dump'!D:D,MATCH($E302*1,'OBA Dump'!$A:$A,0)),"")</f>
        <v/>
      </c>
      <c r="N302" s="52"/>
      <c r="O302" s="52"/>
      <c r="P302" s="53"/>
      <c r="Q302" s="52"/>
      <c r="R302" s="38" t="str">
        <f>_xlfn.IFNA(VLOOKUP(E302,'Pre-Booked Holidays'!A:B,2,0),"")</f>
        <v/>
      </c>
      <c r="S302" s="38" t="str">
        <f>IF(E302="","",IF(IFERROR(VLOOKUP(E302,'Onbase Report'!D:E,2,0),"")&lt;&gt;"","Details in Onbase","No Details"))</f>
        <v/>
      </c>
      <c r="T302" s="38" t="str">
        <f>IF(LEFT('Salesforce Dump'!Q299,5)="BHX10",LEFT('Salesforce Dump'!Q299,5),LEFT('Salesforce Dump'!Q299,4))</f>
        <v/>
      </c>
      <c r="U302" s="38"/>
    </row>
    <row r="303" spans="1:21" ht="14.5" x14ac:dyDescent="0.35">
      <c r="A303" s="47" t="str">
        <f>IF('Salesforce Dump'!A300&lt;&gt;"",'Salesforce Dump'!A300,"")</f>
        <v/>
      </c>
      <c r="B303" s="48"/>
      <c r="C303" s="49" t="str">
        <f>IF('Salesforce Dump'!B300&lt;&gt;"",'Salesforce Dump'!B300,"")</f>
        <v/>
      </c>
      <c r="D303" s="48"/>
      <c r="E303" s="50" t="str">
        <f>IF('Salesforce Dump'!C300&lt;&gt;"",'Salesforce Dump'!C300,"")</f>
        <v/>
      </c>
      <c r="F303" s="49" t="str">
        <f>IF('Salesforce Dump'!D300&lt;&gt;"",'Salesforce Dump'!D300,"")</f>
        <v/>
      </c>
      <c r="G303" s="49" t="str">
        <f>IF('Salesforce Dump'!E300&lt;&gt;"",'Salesforce Dump'!E300,"")</f>
        <v/>
      </c>
      <c r="H303" s="49" t="str">
        <f>IF('Salesforce Dump'!G300&lt;&gt;"",'Salesforce Dump'!G300,"")</f>
        <v/>
      </c>
      <c r="I303" s="49" t="str">
        <f>IF('Salesforce Dump'!H300&lt;&gt;"",'Salesforce Dump'!H300,"")</f>
        <v/>
      </c>
      <c r="J303" s="51" t="str">
        <f>IF('Salesforce Dump'!I300&lt;&gt;"",'Salesforce Dump'!I300,"")</f>
        <v/>
      </c>
      <c r="K303" s="51" t="str">
        <f>IF('Salesforce Dump'!J300&lt;&gt;"",'Salesforce Dump'!J300,"")</f>
        <v/>
      </c>
      <c r="L303" s="52" t="str">
        <f>IFERROR(INDEX('OBA Dump'!C:C,MATCH($E303*1,'OBA Dump'!$A:$A,0)),"")</f>
        <v/>
      </c>
      <c r="M303" s="52" t="str">
        <f>IFERROR(INDEX('OBA Dump'!D:D,MATCH($E303*1,'OBA Dump'!$A:$A,0)),"")</f>
        <v/>
      </c>
      <c r="N303" s="52"/>
      <c r="O303" s="52"/>
      <c r="P303" s="53"/>
      <c r="Q303" s="52"/>
      <c r="R303" s="38" t="str">
        <f>_xlfn.IFNA(VLOOKUP(E303,'Pre-Booked Holidays'!A:B,2,0),"")</f>
        <v/>
      </c>
      <c r="S303" s="38" t="str">
        <f>IF(E303="","",IF(IFERROR(VLOOKUP(E303,'Onbase Report'!D:E,2,0),"")&lt;&gt;"","Details in Onbase","No Details"))</f>
        <v/>
      </c>
      <c r="T303" s="38" t="str">
        <f>IF(LEFT('Salesforce Dump'!Q300,5)="BHX10",LEFT('Salesforce Dump'!Q300,5),LEFT('Salesforce Dump'!Q300,4))</f>
        <v/>
      </c>
      <c r="U303" s="38"/>
    </row>
    <row r="304" spans="1:21" ht="14.5" x14ac:dyDescent="0.35">
      <c r="A304" s="47" t="str">
        <f>IF('Salesforce Dump'!A301&lt;&gt;"",'Salesforce Dump'!A301,"")</f>
        <v/>
      </c>
      <c r="B304" s="48"/>
      <c r="C304" s="49" t="str">
        <f>IF('Salesforce Dump'!B301&lt;&gt;"",'Salesforce Dump'!B301,"")</f>
        <v/>
      </c>
      <c r="D304" s="48"/>
      <c r="E304" s="50" t="str">
        <f>IF('Salesforce Dump'!C301&lt;&gt;"",'Salesforce Dump'!C301,"")</f>
        <v/>
      </c>
      <c r="F304" s="49" t="str">
        <f>IF('Salesforce Dump'!D301&lt;&gt;"",'Salesforce Dump'!D301,"")</f>
        <v/>
      </c>
      <c r="G304" s="49" t="str">
        <f>IF('Salesforce Dump'!E301&lt;&gt;"",'Salesforce Dump'!E301,"")</f>
        <v/>
      </c>
      <c r="H304" s="49" t="str">
        <f>IF('Salesforce Dump'!G301&lt;&gt;"",'Salesforce Dump'!G301,"")</f>
        <v/>
      </c>
      <c r="I304" s="49" t="str">
        <f>IF('Salesforce Dump'!H301&lt;&gt;"",'Salesforce Dump'!H301,"")</f>
        <v/>
      </c>
      <c r="J304" s="51" t="str">
        <f>IF('Salesforce Dump'!I301&lt;&gt;"",'Salesforce Dump'!I301,"")</f>
        <v/>
      </c>
      <c r="K304" s="51" t="str">
        <f>IF('Salesforce Dump'!J301&lt;&gt;"",'Salesforce Dump'!J301,"")</f>
        <v/>
      </c>
      <c r="L304" s="52" t="str">
        <f>IFERROR(INDEX('OBA Dump'!C:C,MATCH($E304*1,'OBA Dump'!$A:$A,0)),"")</f>
        <v/>
      </c>
      <c r="M304" s="52" t="str">
        <f>IFERROR(INDEX('OBA Dump'!D:D,MATCH($E304*1,'OBA Dump'!$A:$A,0)),"")</f>
        <v/>
      </c>
      <c r="N304" s="52"/>
      <c r="O304" s="52"/>
      <c r="P304" s="53"/>
      <c r="Q304" s="52"/>
      <c r="R304" s="38" t="str">
        <f>_xlfn.IFNA(VLOOKUP(E304,'Pre-Booked Holidays'!A:B,2,0),"")</f>
        <v/>
      </c>
      <c r="S304" s="38" t="str">
        <f>IF(E304="","",IF(IFERROR(VLOOKUP(E304,'Onbase Report'!D:E,2,0),"")&lt;&gt;"","Details in Onbase","No Details"))</f>
        <v/>
      </c>
      <c r="T304" s="38" t="str">
        <f>IF(LEFT('Salesforce Dump'!Q301,5)="BHX10",LEFT('Salesforce Dump'!Q301,5),LEFT('Salesforce Dump'!Q301,4))</f>
        <v/>
      </c>
      <c r="U304" s="38"/>
    </row>
    <row r="305" spans="1:21" ht="14.5" x14ac:dyDescent="0.35">
      <c r="A305" s="47" t="str">
        <f>IF('Salesforce Dump'!A302&lt;&gt;"",'Salesforce Dump'!A302,"")</f>
        <v/>
      </c>
      <c r="B305" s="48"/>
      <c r="C305" s="49" t="str">
        <f>IF('Salesforce Dump'!B302&lt;&gt;"",'Salesforce Dump'!B302,"")</f>
        <v/>
      </c>
      <c r="D305" s="48"/>
      <c r="E305" s="50" t="str">
        <f>IF('Salesforce Dump'!C302&lt;&gt;"",'Salesforce Dump'!C302,"")</f>
        <v/>
      </c>
      <c r="F305" s="49" t="str">
        <f>IF('Salesforce Dump'!D302&lt;&gt;"",'Salesforce Dump'!D302,"")</f>
        <v/>
      </c>
      <c r="G305" s="49" t="str">
        <f>IF('Salesforce Dump'!E302&lt;&gt;"",'Salesforce Dump'!E302,"")</f>
        <v/>
      </c>
      <c r="H305" s="49" t="str">
        <f>IF('Salesforce Dump'!G302&lt;&gt;"",'Salesforce Dump'!G302,"")</f>
        <v/>
      </c>
      <c r="I305" s="49" t="str">
        <f>IF('Salesforce Dump'!H302&lt;&gt;"",'Salesforce Dump'!H302,"")</f>
        <v/>
      </c>
      <c r="J305" s="51" t="str">
        <f>IF('Salesforce Dump'!I302&lt;&gt;"",'Salesforce Dump'!I302,"")</f>
        <v/>
      </c>
      <c r="K305" s="51" t="str">
        <f>IF('Salesforce Dump'!J302&lt;&gt;"",'Salesforce Dump'!J302,"")</f>
        <v/>
      </c>
      <c r="L305" s="52" t="str">
        <f>IFERROR(INDEX('OBA Dump'!C:C,MATCH($E305*1,'OBA Dump'!$A:$A,0)),"")</f>
        <v/>
      </c>
      <c r="M305" s="52" t="str">
        <f>IFERROR(INDEX('OBA Dump'!D:D,MATCH($E305*1,'OBA Dump'!$A:$A,0)),"")</f>
        <v/>
      </c>
      <c r="N305" s="52"/>
      <c r="O305" s="52"/>
      <c r="P305" s="53"/>
      <c r="Q305" s="52"/>
      <c r="R305" s="38" t="str">
        <f>_xlfn.IFNA(VLOOKUP(E305,'Pre-Booked Holidays'!A:B,2,0),"")</f>
        <v/>
      </c>
      <c r="S305" s="38" t="str">
        <f>IF(E305="","",IF(IFERROR(VLOOKUP(E305,'Onbase Report'!D:E,2,0),"")&lt;&gt;"","Details in Onbase","No Details"))</f>
        <v/>
      </c>
      <c r="T305" s="38" t="str">
        <f>IF(LEFT('Salesforce Dump'!Q302,5)="BHX10",LEFT('Salesforce Dump'!Q302,5),LEFT('Salesforce Dump'!Q302,4))</f>
        <v/>
      </c>
      <c r="U305" s="38"/>
    </row>
    <row r="306" spans="1:21" ht="14.5" x14ac:dyDescent="0.35">
      <c r="A306" s="47" t="str">
        <f>IF('Salesforce Dump'!A303&lt;&gt;"",'Salesforce Dump'!A303,"")</f>
        <v/>
      </c>
      <c r="B306" s="48"/>
      <c r="C306" s="49" t="str">
        <f>IF('Salesforce Dump'!B303&lt;&gt;"",'Salesforce Dump'!B303,"")</f>
        <v/>
      </c>
      <c r="D306" s="48"/>
      <c r="E306" s="50" t="str">
        <f>IF('Salesforce Dump'!C303&lt;&gt;"",'Salesforce Dump'!C303,"")</f>
        <v/>
      </c>
      <c r="F306" s="49" t="str">
        <f>IF('Salesforce Dump'!D303&lt;&gt;"",'Salesforce Dump'!D303,"")</f>
        <v/>
      </c>
      <c r="G306" s="49" t="str">
        <f>IF('Salesforce Dump'!E303&lt;&gt;"",'Salesforce Dump'!E303,"")</f>
        <v/>
      </c>
      <c r="H306" s="49" t="str">
        <f>IF('Salesforce Dump'!G303&lt;&gt;"",'Salesforce Dump'!G303,"")</f>
        <v/>
      </c>
      <c r="I306" s="49" t="str">
        <f>IF('Salesforce Dump'!H303&lt;&gt;"",'Salesforce Dump'!H303,"")</f>
        <v/>
      </c>
      <c r="J306" s="51" t="str">
        <f>IF('Salesforce Dump'!I303&lt;&gt;"",'Salesforce Dump'!I303,"")</f>
        <v/>
      </c>
      <c r="K306" s="51" t="str">
        <f>IF('Salesforce Dump'!J303&lt;&gt;"",'Salesforce Dump'!J303,"")</f>
        <v/>
      </c>
      <c r="L306" s="52" t="str">
        <f>IFERROR(INDEX('OBA Dump'!C:C,MATCH($E306*1,'OBA Dump'!$A:$A,0)),"")</f>
        <v/>
      </c>
      <c r="M306" s="52" t="str">
        <f>IFERROR(INDEX('OBA Dump'!D:D,MATCH($E306*1,'OBA Dump'!$A:$A,0)),"")</f>
        <v/>
      </c>
      <c r="N306" s="52"/>
      <c r="O306" s="52"/>
      <c r="P306" s="53"/>
      <c r="Q306" s="52"/>
      <c r="R306" s="38" t="str">
        <f>_xlfn.IFNA(VLOOKUP(E306,'Pre-Booked Holidays'!A:B,2,0),"")</f>
        <v/>
      </c>
      <c r="S306" s="38" t="str">
        <f>IF(E306="","",IF(IFERROR(VLOOKUP(E306,'Onbase Report'!D:E,2,0),"")&lt;&gt;"","Details in Onbase","No Details"))</f>
        <v/>
      </c>
      <c r="T306" s="38" t="str">
        <f>IF(LEFT('Salesforce Dump'!Q303,5)="BHX10",LEFT('Salesforce Dump'!Q303,5),LEFT('Salesforce Dump'!Q303,4))</f>
        <v/>
      </c>
      <c r="U306" s="38"/>
    </row>
    <row r="307" spans="1:21" ht="14.5" x14ac:dyDescent="0.35">
      <c r="A307" s="47" t="str">
        <f>IF('Salesforce Dump'!A304&lt;&gt;"",'Salesforce Dump'!A304,"")</f>
        <v/>
      </c>
      <c r="B307" s="48"/>
      <c r="C307" s="49" t="str">
        <f>IF('Salesforce Dump'!B304&lt;&gt;"",'Salesforce Dump'!B304,"")</f>
        <v/>
      </c>
      <c r="D307" s="48"/>
      <c r="E307" s="50" t="str">
        <f>IF('Salesforce Dump'!C304&lt;&gt;"",'Salesforce Dump'!C304,"")</f>
        <v/>
      </c>
      <c r="F307" s="49" t="str">
        <f>IF('Salesforce Dump'!D304&lt;&gt;"",'Salesforce Dump'!D304,"")</f>
        <v/>
      </c>
      <c r="G307" s="49" t="str">
        <f>IF('Salesforce Dump'!E304&lt;&gt;"",'Salesforce Dump'!E304,"")</f>
        <v/>
      </c>
      <c r="H307" s="49" t="str">
        <f>IF('Salesforce Dump'!G304&lt;&gt;"",'Salesforce Dump'!G304,"")</f>
        <v/>
      </c>
      <c r="I307" s="49" t="str">
        <f>IF('Salesforce Dump'!H304&lt;&gt;"",'Salesforce Dump'!H304,"")</f>
        <v/>
      </c>
      <c r="J307" s="51" t="str">
        <f>IF('Salesforce Dump'!I304&lt;&gt;"",'Salesforce Dump'!I304,"")</f>
        <v/>
      </c>
      <c r="K307" s="51" t="str">
        <f>IF('Salesforce Dump'!J304&lt;&gt;"",'Salesforce Dump'!J304,"")</f>
        <v/>
      </c>
      <c r="L307" s="52" t="str">
        <f>IFERROR(INDEX('OBA Dump'!C:C,MATCH($E307*1,'OBA Dump'!$A:$A,0)),"")</f>
        <v/>
      </c>
      <c r="M307" s="52" t="str">
        <f>IFERROR(INDEX('OBA Dump'!D:D,MATCH($E307*1,'OBA Dump'!$A:$A,0)),"")</f>
        <v/>
      </c>
      <c r="N307" s="52"/>
      <c r="O307" s="52"/>
      <c r="P307" s="53"/>
      <c r="Q307" s="52"/>
      <c r="R307" s="38" t="str">
        <f>_xlfn.IFNA(VLOOKUP(E307,'Pre-Booked Holidays'!A:B,2,0),"")</f>
        <v/>
      </c>
      <c r="S307" s="38" t="str">
        <f>IF(E307="","",IF(IFERROR(VLOOKUP(E307,'Onbase Report'!D:E,2,0),"")&lt;&gt;"","Details in Onbase","No Details"))</f>
        <v/>
      </c>
      <c r="T307" s="38" t="str">
        <f>IF(LEFT('Salesforce Dump'!Q304,5)="BHX10",LEFT('Salesforce Dump'!Q304,5),LEFT('Salesforce Dump'!Q304,4))</f>
        <v/>
      </c>
      <c r="U307" s="38"/>
    </row>
    <row r="308" spans="1:21" ht="14.5" x14ac:dyDescent="0.35">
      <c r="A308" s="47" t="str">
        <f>IF('Salesforce Dump'!A305&lt;&gt;"",'Salesforce Dump'!A305,"")</f>
        <v/>
      </c>
      <c r="B308" s="48"/>
      <c r="C308" s="49" t="str">
        <f>IF('Salesforce Dump'!B305&lt;&gt;"",'Salesforce Dump'!B305,"")</f>
        <v/>
      </c>
      <c r="D308" s="48"/>
      <c r="E308" s="50" t="str">
        <f>IF('Salesforce Dump'!C305&lt;&gt;"",'Salesforce Dump'!C305,"")</f>
        <v/>
      </c>
      <c r="F308" s="49" t="str">
        <f>IF('Salesforce Dump'!D305&lt;&gt;"",'Salesforce Dump'!D305,"")</f>
        <v/>
      </c>
      <c r="G308" s="49" t="str">
        <f>IF('Salesforce Dump'!E305&lt;&gt;"",'Salesforce Dump'!E305,"")</f>
        <v/>
      </c>
      <c r="H308" s="49" t="str">
        <f>IF('Salesforce Dump'!G305&lt;&gt;"",'Salesforce Dump'!G305,"")</f>
        <v/>
      </c>
      <c r="I308" s="49" t="str">
        <f>IF('Salesforce Dump'!H305&lt;&gt;"",'Salesforce Dump'!H305,"")</f>
        <v/>
      </c>
      <c r="J308" s="51" t="str">
        <f>IF('Salesforce Dump'!I305&lt;&gt;"",'Salesforce Dump'!I305,"")</f>
        <v/>
      </c>
      <c r="K308" s="51" t="str">
        <f>IF('Salesforce Dump'!J305&lt;&gt;"",'Salesforce Dump'!J305,"")</f>
        <v/>
      </c>
      <c r="L308" s="52" t="str">
        <f>IFERROR(INDEX('OBA Dump'!C:C,MATCH($E308*1,'OBA Dump'!$A:$A,0)),"")</f>
        <v/>
      </c>
      <c r="M308" s="52" t="str">
        <f>IFERROR(INDEX('OBA Dump'!D:D,MATCH($E308*1,'OBA Dump'!$A:$A,0)),"")</f>
        <v/>
      </c>
      <c r="N308" s="52"/>
      <c r="O308" s="52"/>
      <c r="P308" s="53"/>
      <c r="Q308" s="52"/>
      <c r="R308" s="38" t="str">
        <f>_xlfn.IFNA(VLOOKUP(E308,'Pre-Booked Holidays'!A:B,2,0),"")</f>
        <v/>
      </c>
      <c r="S308" s="38" t="str">
        <f>IF(E308="","",IF(IFERROR(VLOOKUP(E308,'Onbase Report'!D:E,2,0),"")&lt;&gt;"","Details in Onbase","No Details"))</f>
        <v/>
      </c>
      <c r="T308" s="38" t="str">
        <f>IF(LEFT('Salesforce Dump'!Q305,5)="BHX10",LEFT('Salesforce Dump'!Q305,5),LEFT('Salesforce Dump'!Q305,4))</f>
        <v/>
      </c>
      <c r="U308" s="38"/>
    </row>
    <row r="309" spans="1:21" ht="14.5" x14ac:dyDescent="0.35">
      <c r="A309" s="47" t="str">
        <f>IF('Salesforce Dump'!A306&lt;&gt;"",'Salesforce Dump'!A306,"")</f>
        <v/>
      </c>
      <c r="B309" s="48"/>
      <c r="C309" s="49" t="str">
        <f>IF('Salesforce Dump'!B306&lt;&gt;"",'Salesforce Dump'!B306,"")</f>
        <v/>
      </c>
      <c r="D309" s="48"/>
      <c r="E309" s="50" t="str">
        <f>IF('Salesforce Dump'!C306&lt;&gt;"",'Salesforce Dump'!C306,"")</f>
        <v/>
      </c>
      <c r="F309" s="49" t="str">
        <f>IF('Salesforce Dump'!D306&lt;&gt;"",'Salesforce Dump'!D306,"")</f>
        <v/>
      </c>
      <c r="G309" s="49" t="str">
        <f>IF('Salesforce Dump'!E306&lt;&gt;"",'Salesforce Dump'!E306,"")</f>
        <v/>
      </c>
      <c r="H309" s="49" t="str">
        <f>IF('Salesforce Dump'!G306&lt;&gt;"",'Salesforce Dump'!G306,"")</f>
        <v/>
      </c>
      <c r="I309" s="49" t="str">
        <f>IF('Salesforce Dump'!H306&lt;&gt;"",'Salesforce Dump'!H306,"")</f>
        <v/>
      </c>
      <c r="J309" s="51" t="str">
        <f>IF('Salesforce Dump'!I306&lt;&gt;"",'Salesforce Dump'!I306,"")</f>
        <v/>
      </c>
      <c r="K309" s="51" t="str">
        <f>IF('Salesforce Dump'!J306&lt;&gt;"",'Salesforce Dump'!J306,"")</f>
        <v/>
      </c>
      <c r="L309" s="52" t="str">
        <f>IFERROR(INDEX('OBA Dump'!C:C,MATCH($E309*1,'OBA Dump'!$A:$A,0)),"")</f>
        <v/>
      </c>
      <c r="M309" s="52" t="str">
        <f>IFERROR(INDEX('OBA Dump'!D:D,MATCH($E309*1,'OBA Dump'!$A:$A,0)),"")</f>
        <v/>
      </c>
      <c r="N309" s="52"/>
      <c r="O309" s="52"/>
      <c r="P309" s="53"/>
      <c r="Q309" s="52"/>
      <c r="R309" s="38" t="str">
        <f>_xlfn.IFNA(VLOOKUP(E309,'Pre-Booked Holidays'!A:B,2,0),"")</f>
        <v/>
      </c>
      <c r="S309" s="38" t="str">
        <f>IF(E309="","",IF(IFERROR(VLOOKUP(E309,'Onbase Report'!D:E,2,0),"")&lt;&gt;"","Details in Onbase","No Details"))</f>
        <v/>
      </c>
      <c r="T309" s="38" t="str">
        <f>IF(LEFT('Salesforce Dump'!Q306,5)="BHX10",LEFT('Salesforce Dump'!Q306,5),LEFT('Salesforce Dump'!Q306,4))</f>
        <v/>
      </c>
      <c r="U309" s="38"/>
    </row>
    <row r="310" spans="1:21" ht="14.5" x14ac:dyDescent="0.35">
      <c r="A310" s="47" t="str">
        <f>IF('Salesforce Dump'!A307&lt;&gt;"",'Salesforce Dump'!A307,"")</f>
        <v/>
      </c>
      <c r="B310" s="48"/>
      <c r="C310" s="49" t="str">
        <f>IF('Salesforce Dump'!B307&lt;&gt;"",'Salesforce Dump'!B307,"")</f>
        <v/>
      </c>
      <c r="D310" s="48"/>
      <c r="E310" s="50" t="str">
        <f>IF('Salesforce Dump'!C307&lt;&gt;"",'Salesforce Dump'!C307,"")</f>
        <v/>
      </c>
      <c r="F310" s="49" t="str">
        <f>IF('Salesforce Dump'!D307&lt;&gt;"",'Salesforce Dump'!D307,"")</f>
        <v/>
      </c>
      <c r="G310" s="49" t="str">
        <f>IF('Salesforce Dump'!E307&lt;&gt;"",'Salesforce Dump'!E307,"")</f>
        <v/>
      </c>
      <c r="H310" s="49" t="str">
        <f>IF('Salesforce Dump'!G307&lt;&gt;"",'Salesforce Dump'!G307,"")</f>
        <v/>
      </c>
      <c r="I310" s="49" t="str">
        <f>IF('Salesforce Dump'!H307&lt;&gt;"",'Salesforce Dump'!H307,"")</f>
        <v/>
      </c>
      <c r="J310" s="51" t="str">
        <f>IF('Salesforce Dump'!I307&lt;&gt;"",'Salesforce Dump'!I307,"")</f>
        <v/>
      </c>
      <c r="K310" s="51" t="str">
        <f>IF('Salesforce Dump'!J307&lt;&gt;"",'Salesforce Dump'!J307,"")</f>
        <v/>
      </c>
      <c r="L310" s="52" t="str">
        <f>IFERROR(INDEX('OBA Dump'!C:C,MATCH($E310*1,'OBA Dump'!$A:$A,0)),"")</f>
        <v/>
      </c>
      <c r="M310" s="52" t="str">
        <f>IFERROR(INDEX('OBA Dump'!D:D,MATCH($E310*1,'OBA Dump'!$A:$A,0)),"")</f>
        <v/>
      </c>
      <c r="N310" s="52"/>
      <c r="O310" s="52"/>
      <c r="P310" s="53"/>
      <c r="Q310" s="52"/>
      <c r="R310" s="38" t="str">
        <f>_xlfn.IFNA(VLOOKUP(E310,'Pre-Booked Holidays'!A:B,2,0),"")</f>
        <v/>
      </c>
      <c r="S310" s="38" t="str">
        <f>IF(E310="","",IF(IFERROR(VLOOKUP(E310,'Onbase Report'!D:E,2,0),"")&lt;&gt;"","Details in Onbase","No Details"))</f>
        <v/>
      </c>
      <c r="T310" s="38" t="str">
        <f>IF(LEFT('Salesforce Dump'!Q307,5)="BHX10",LEFT('Salesforce Dump'!Q307,5),LEFT('Salesforce Dump'!Q307,4))</f>
        <v/>
      </c>
      <c r="U310" s="38"/>
    </row>
    <row r="311" spans="1:21" ht="14.5" x14ac:dyDescent="0.35">
      <c r="A311" s="47" t="str">
        <f>IF('Salesforce Dump'!A308&lt;&gt;"",'Salesforce Dump'!A308,"")</f>
        <v/>
      </c>
      <c r="B311" s="48"/>
      <c r="C311" s="49" t="str">
        <f>IF('Salesforce Dump'!B308&lt;&gt;"",'Salesforce Dump'!B308,"")</f>
        <v/>
      </c>
      <c r="D311" s="48"/>
      <c r="E311" s="50" t="str">
        <f>IF('Salesforce Dump'!C308&lt;&gt;"",'Salesforce Dump'!C308,"")</f>
        <v/>
      </c>
      <c r="F311" s="49" t="str">
        <f>IF('Salesforce Dump'!D308&lt;&gt;"",'Salesforce Dump'!D308,"")</f>
        <v/>
      </c>
      <c r="G311" s="49" t="str">
        <f>IF('Salesforce Dump'!E308&lt;&gt;"",'Salesforce Dump'!E308,"")</f>
        <v/>
      </c>
      <c r="H311" s="49" t="str">
        <f>IF('Salesforce Dump'!G308&lt;&gt;"",'Salesforce Dump'!G308,"")</f>
        <v/>
      </c>
      <c r="I311" s="49" t="str">
        <f>IF('Salesforce Dump'!H308&lt;&gt;"",'Salesforce Dump'!H308,"")</f>
        <v/>
      </c>
      <c r="J311" s="51" t="str">
        <f>IF('Salesforce Dump'!I308&lt;&gt;"",'Salesforce Dump'!I308,"")</f>
        <v/>
      </c>
      <c r="K311" s="51" t="str">
        <f>IF('Salesforce Dump'!J308&lt;&gt;"",'Salesforce Dump'!J308,"")</f>
        <v/>
      </c>
      <c r="L311" s="52" t="str">
        <f>IFERROR(INDEX('OBA Dump'!C:C,MATCH($E311*1,'OBA Dump'!$A:$A,0)),"")</f>
        <v/>
      </c>
      <c r="M311" s="52" t="str">
        <f>IFERROR(INDEX('OBA Dump'!D:D,MATCH($E311*1,'OBA Dump'!$A:$A,0)),"")</f>
        <v/>
      </c>
      <c r="N311" s="52"/>
      <c r="O311" s="52"/>
      <c r="P311" s="53"/>
      <c r="Q311" s="52"/>
      <c r="R311" s="38" t="str">
        <f>_xlfn.IFNA(VLOOKUP(E311,'Pre-Booked Holidays'!A:B,2,0),"")</f>
        <v/>
      </c>
      <c r="S311" s="38" t="str">
        <f>IF(E311="","",IF(IFERROR(VLOOKUP(E311,'Onbase Report'!D:E,2,0),"")&lt;&gt;"","Details in Onbase","No Details"))</f>
        <v/>
      </c>
      <c r="T311" s="38" t="str">
        <f>IF(LEFT('Salesforce Dump'!Q308,5)="BHX10",LEFT('Salesforce Dump'!Q308,5),LEFT('Salesforce Dump'!Q308,4))</f>
        <v/>
      </c>
      <c r="U311" s="38"/>
    </row>
    <row r="312" spans="1:21" ht="14.5" x14ac:dyDescent="0.35">
      <c r="A312" s="47" t="str">
        <f>IF('Salesforce Dump'!A309&lt;&gt;"",'Salesforce Dump'!A309,"")</f>
        <v/>
      </c>
      <c r="B312" s="48"/>
      <c r="C312" s="49" t="str">
        <f>IF('Salesforce Dump'!B309&lt;&gt;"",'Salesforce Dump'!B309,"")</f>
        <v/>
      </c>
      <c r="D312" s="48"/>
      <c r="E312" s="50" t="str">
        <f>IF('Salesforce Dump'!C309&lt;&gt;"",'Salesforce Dump'!C309,"")</f>
        <v/>
      </c>
      <c r="F312" s="49" t="str">
        <f>IF('Salesforce Dump'!D309&lt;&gt;"",'Salesforce Dump'!D309,"")</f>
        <v/>
      </c>
      <c r="G312" s="49" t="str">
        <f>IF('Salesforce Dump'!E309&lt;&gt;"",'Salesforce Dump'!E309,"")</f>
        <v/>
      </c>
      <c r="H312" s="49" t="str">
        <f>IF('Salesforce Dump'!G309&lt;&gt;"",'Salesforce Dump'!G309,"")</f>
        <v/>
      </c>
      <c r="I312" s="49" t="str">
        <f>IF('Salesforce Dump'!H309&lt;&gt;"",'Salesforce Dump'!H309,"")</f>
        <v/>
      </c>
      <c r="J312" s="51" t="str">
        <f>IF('Salesforce Dump'!I309&lt;&gt;"",'Salesforce Dump'!I309,"")</f>
        <v/>
      </c>
      <c r="K312" s="51" t="str">
        <f>IF('Salesforce Dump'!J309&lt;&gt;"",'Salesforce Dump'!J309,"")</f>
        <v/>
      </c>
      <c r="L312" s="52" t="str">
        <f>IFERROR(INDEX('OBA Dump'!C:C,MATCH($E312*1,'OBA Dump'!$A:$A,0)),"")</f>
        <v/>
      </c>
      <c r="M312" s="52" t="str">
        <f>IFERROR(INDEX('OBA Dump'!D:D,MATCH($E312*1,'OBA Dump'!$A:$A,0)),"")</f>
        <v/>
      </c>
      <c r="N312" s="52"/>
      <c r="O312" s="52"/>
      <c r="P312" s="53"/>
      <c r="Q312" s="52"/>
      <c r="R312" s="38" t="str">
        <f>_xlfn.IFNA(VLOOKUP(E312,'Pre-Booked Holidays'!A:B,2,0),"")</f>
        <v/>
      </c>
      <c r="S312" s="38" t="str">
        <f>IF(E312="","",IF(IFERROR(VLOOKUP(E312,'Onbase Report'!D:E,2,0),"")&lt;&gt;"","Details in Onbase","No Details"))</f>
        <v/>
      </c>
      <c r="T312" s="38" t="str">
        <f>IF(LEFT('Salesforce Dump'!Q309,5)="BHX10",LEFT('Salesforce Dump'!Q309,5),LEFT('Salesforce Dump'!Q309,4))</f>
        <v/>
      </c>
      <c r="U312" s="38"/>
    </row>
    <row r="313" spans="1:21" ht="14.5" x14ac:dyDescent="0.35">
      <c r="A313" s="47" t="str">
        <f>IF('Salesforce Dump'!A310&lt;&gt;"",'Salesforce Dump'!A310,"")</f>
        <v/>
      </c>
      <c r="B313" s="48"/>
      <c r="C313" s="49" t="str">
        <f>IF('Salesforce Dump'!B310&lt;&gt;"",'Salesforce Dump'!B310,"")</f>
        <v/>
      </c>
      <c r="D313" s="48"/>
      <c r="E313" s="50" t="str">
        <f>IF('Salesforce Dump'!C310&lt;&gt;"",'Salesforce Dump'!C310,"")</f>
        <v/>
      </c>
      <c r="F313" s="49" t="str">
        <f>IF('Salesforce Dump'!D310&lt;&gt;"",'Salesforce Dump'!D310,"")</f>
        <v/>
      </c>
      <c r="G313" s="49" t="str">
        <f>IF('Salesforce Dump'!E310&lt;&gt;"",'Salesforce Dump'!E310,"")</f>
        <v/>
      </c>
      <c r="H313" s="49" t="str">
        <f>IF('Salesforce Dump'!G310&lt;&gt;"",'Salesforce Dump'!G310,"")</f>
        <v/>
      </c>
      <c r="I313" s="49" t="str">
        <f>IF('Salesforce Dump'!H310&lt;&gt;"",'Salesforce Dump'!H310,"")</f>
        <v/>
      </c>
      <c r="J313" s="51" t="str">
        <f>IF('Salesforce Dump'!I310&lt;&gt;"",'Salesforce Dump'!I310,"")</f>
        <v/>
      </c>
      <c r="K313" s="51" t="str">
        <f>IF('Salesforce Dump'!J310&lt;&gt;"",'Salesforce Dump'!J310,"")</f>
        <v/>
      </c>
      <c r="L313" s="52" t="str">
        <f>IFERROR(INDEX('OBA Dump'!C:C,MATCH($E313*1,'OBA Dump'!$A:$A,0)),"")</f>
        <v/>
      </c>
      <c r="M313" s="52" t="str">
        <f>IFERROR(INDEX('OBA Dump'!D:D,MATCH($E313*1,'OBA Dump'!$A:$A,0)),"")</f>
        <v/>
      </c>
      <c r="N313" s="52"/>
      <c r="O313" s="52"/>
      <c r="P313" s="53"/>
      <c r="Q313" s="52"/>
      <c r="R313" s="38" t="str">
        <f>_xlfn.IFNA(VLOOKUP(E313,'Pre-Booked Holidays'!A:B,2,0),"")</f>
        <v/>
      </c>
      <c r="S313" s="38" t="str">
        <f>IF(E313="","",IF(IFERROR(VLOOKUP(E313,'Onbase Report'!D:E,2,0),"")&lt;&gt;"","Details in Onbase","No Details"))</f>
        <v/>
      </c>
      <c r="T313" s="38" t="str">
        <f>IF(LEFT('Salesforce Dump'!Q310,5)="BHX10",LEFT('Salesforce Dump'!Q310,5),LEFT('Salesforce Dump'!Q310,4))</f>
        <v/>
      </c>
      <c r="U313" s="38"/>
    </row>
    <row r="314" spans="1:21" ht="14.5" x14ac:dyDescent="0.35">
      <c r="A314" s="47" t="str">
        <f>IF('Salesforce Dump'!A311&lt;&gt;"",'Salesforce Dump'!A311,"")</f>
        <v/>
      </c>
      <c r="B314" s="48"/>
      <c r="C314" s="49" t="str">
        <f>IF('Salesforce Dump'!B311&lt;&gt;"",'Salesforce Dump'!B311,"")</f>
        <v/>
      </c>
      <c r="D314" s="48"/>
      <c r="E314" s="50" t="str">
        <f>IF('Salesforce Dump'!C311&lt;&gt;"",'Salesforce Dump'!C311,"")</f>
        <v/>
      </c>
      <c r="F314" s="49" t="str">
        <f>IF('Salesforce Dump'!D311&lt;&gt;"",'Salesforce Dump'!D311,"")</f>
        <v/>
      </c>
      <c r="G314" s="49" t="str">
        <f>IF('Salesforce Dump'!E311&lt;&gt;"",'Salesforce Dump'!E311,"")</f>
        <v/>
      </c>
      <c r="H314" s="49" t="str">
        <f>IF('Salesforce Dump'!G311&lt;&gt;"",'Salesforce Dump'!G311,"")</f>
        <v/>
      </c>
      <c r="I314" s="49" t="str">
        <f>IF('Salesforce Dump'!H311&lt;&gt;"",'Salesforce Dump'!H311,"")</f>
        <v/>
      </c>
      <c r="J314" s="51" t="str">
        <f>IF('Salesforce Dump'!I311&lt;&gt;"",'Salesforce Dump'!I311,"")</f>
        <v/>
      </c>
      <c r="K314" s="51" t="str">
        <f>IF('Salesforce Dump'!J311&lt;&gt;"",'Salesforce Dump'!J311,"")</f>
        <v/>
      </c>
      <c r="L314" s="52" t="str">
        <f>IFERROR(INDEX('OBA Dump'!C:C,MATCH($E314*1,'OBA Dump'!$A:$A,0)),"")</f>
        <v/>
      </c>
      <c r="M314" s="52" t="str">
        <f>IFERROR(INDEX('OBA Dump'!D:D,MATCH($E314*1,'OBA Dump'!$A:$A,0)),"")</f>
        <v/>
      </c>
      <c r="N314" s="52"/>
      <c r="O314" s="52"/>
      <c r="P314" s="53"/>
      <c r="Q314" s="52"/>
      <c r="R314" s="38" t="str">
        <f>_xlfn.IFNA(VLOOKUP(E314,'Pre-Booked Holidays'!A:B,2,0),"")</f>
        <v/>
      </c>
      <c r="S314" s="38" t="str">
        <f>IF(E314="","",IF(IFERROR(VLOOKUP(E314,'Onbase Report'!D:E,2,0),"")&lt;&gt;"","Details in Onbase","No Details"))</f>
        <v/>
      </c>
      <c r="T314" s="38" t="str">
        <f>IF(LEFT('Salesforce Dump'!Q311,5)="BHX10",LEFT('Salesforce Dump'!Q311,5),LEFT('Salesforce Dump'!Q311,4))</f>
        <v/>
      </c>
      <c r="U314" s="38"/>
    </row>
    <row r="315" spans="1:21" ht="14.5" x14ac:dyDescent="0.35">
      <c r="A315" s="47" t="str">
        <f>IF('Salesforce Dump'!A312&lt;&gt;"",'Salesforce Dump'!A312,"")</f>
        <v/>
      </c>
      <c r="B315" s="48"/>
      <c r="C315" s="49" t="str">
        <f>IF('Salesforce Dump'!B312&lt;&gt;"",'Salesforce Dump'!B312,"")</f>
        <v/>
      </c>
      <c r="D315" s="48"/>
      <c r="E315" s="50" t="str">
        <f>IF('Salesforce Dump'!C312&lt;&gt;"",'Salesforce Dump'!C312,"")</f>
        <v/>
      </c>
      <c r="F315" s="49" t="str">
        <f>IF('Salesforce Dump'!D312&lt;&gt;"",'Salesforce Dump'!D312,"")</f>
        <v/>
      </c>
      <c r="G315" s="49" t="str">
        <f>IF('Salesforce Dump'!E312&lt;&gt;"",'Salesforce Dump'!E312,"")</f>
        <v/>
      </c>
      <c r="H315" s="49" t="str">
        <f>IF('Salesforce Dump'!G312&lt;&gt;"",'Salesforce Dump'!G312,"")</f>
        <v/>
      </c>
      <c r="I315" s="49" t="str">
        <f>IF('Salesforce Dump'!H312&lt;&gt;"",'Salesforce Dump'!H312,"")</f>
        <v/>
      </c>
      <c r="J315" s="51" t="str">
        <f>IF('Salesforce Dump'!I312&lt;&gt;"",'Salesforce Dump'!I312,"")</f>
        <v/>
      </c>
      <c r="K315" s="51" t="str">
        <f>IF('Salesforce Dump'!J312&lt;&gt;"",'Salesforce Dump'!J312,"")</f>
        <v/>
      </c>
      <c r="L315" s="52" t="str">
        <f>IFERROR(INDEX('OBA Dump'!C:C,MATCH($E315*1,'OBA Dump'!$A:$A,0)),"")</f>
        <v/>
      </c>
      <c r="M315" s="52" t="str">
        <f>IFERROR(INDEX('OBA Dump'!D:D,MATCH($E315*1,'OBA Dump'!$A:$A,0)),"")</f>
        <v/>
      </c>
      <c r="N315" s="52"/>
      <c r="O315" s="52"/>
      <c r="P315" s="53"/>
      <c r="Q315" s="52"/>
      <c r="R315" s="38" t="str">
        <f>_xlfn.IFNA(VLOOKUP(E315,'Pre-Booked Holidays'!A:B,2,0),"")</f>
        <v/>
      </c>
      <c r="S315" s="38" t="str">
        <f>IF(E315="","",IF(IFERROR(VLOOKUP(E315,'Onbase Report'!D:E,2,0),"")&lt;&gt;"","Details in Onbase","No Details"))</f>
        <v/>
      </c>
      <c r="T315" s="38" t="str">
        <f>IF(LEFT('Salesforce Dump'!Q312,5)="BHX10",LEFT('Salesforce Dump'!Q312,5),LEFT('Salesforce Dump'!Q312,4))</f>
        <v/>
      </c>
      <c r="U315" s="38"/>
    </row>
    <row r="316" spans="1:21" ht="14.5" x14ac:dyDescent="0.35">
      <c r="A316" s="47" t="str">
        <f>IF('Salesforce Dump'!A313&lt;&gt;"",'Salesforce Dump'!A313,"")</f>
        <v/>
      </c>
      <c r="B316" s="48"/>
      <c r="C316" s="49" t="str">
        <f>IF('Salesforce Dump'!B313&lt;&gt;"",'Salesforce Dump'!B313,"")</f>
        <v/>
      </c>
      <c r="D316" s="48"/>
      <c r="E316" s="50" t="str">
        <f>IF('Salesforce Dump'!C313&lt;&gt;"",'Salesforce Dump'!C313,"")</f>
        <v/>
      </c>
      <c r="F316" s="49" t="str">
        <f>IF('Salesforce Dump'!D313&lt;&gt;"",'Salesforce Dump'!D313,"")</f>
        <v/>
      </c>
      <c r="G316" s="49" t="str">
        <f>IF('Salesforce Dump'!E313&lt;&gt;"",'Salesforce Dump'!E313,"")</f>
        <v/>
      </c>
      <c r="H316" s="49" t="str">
        <f>IF('Salesforce Dump'!G313&lt;&gt;"",'Salesforce Dump'!G313,"")</f>
        <v/>
      </c>
      <c r="I316" s="49" t="str">
        <f>IF('Salesforce Dump'!H313&lt;&gt;"",'Salesforce Dump'!H313,"")</f>
        <v/>
      </c>
      <c r="J316" s="51" t="str">
        <f>IF('Salesforce Dump'!I313&lt;&gt;"",'Salesforce Dump'!I313,"")</f>
        <v/>
      </c>
      <c r="K316" s="51" t="str">
        <f>IF('Salesforce Dump'!J313&lt;&gt;"",'Salesforce Dump'!J313,"")</f>
        <v/>
      </c>
      <c r="L316" s="52" t="str">
        <f>IFERROR(INDEX('OBA Dump'!C:C,MATCH($E316*1,'OBA Dump'!$A:$A,0)),"")</f>
        <v/>
      </c>
      <c r="M316" s="52" t="str">
        <f>IFERROR(INDEX('OBA Dump'!D:D,MATCH($E316*1,'OBA Dump'!$A:$A,0)),"")</f>
        <v/>
      </c>
      <c r="N316" s="52"/>
      <c r="O316" s="52"/>
      <c r="P316" s="53"/>
      <c r="Q316" s="52"/>
      <c r="R316" s="38" t="str">
        <f>_xlfn.IFNA(VLOOKUP(E316,'Pre-Booked Holidays'!A:B,2,0),"")</f>
        <v/>
      </c>
      <c r="S316" s="38" t="str">
        <f>IF(E316="","",IF(IFERROR(VLOOKUP(E316,'Onbase Report'!D:E,2,0),"")&lt;&gt;"","Details in Onbase","No Details"))</f>
        <v/>
      </c>
      <c r="T316" s="38" t="str">
        <f>IF(LEFT('Salesforce Dump'!Q313,5)="BHX10",LEFT('Salesforce Dump'!Q313,5),LEFT('Salesforce Dump'!Q313,4))</f>
        <v/>
      </c>
      <c r="U316" s="38"/>
    </row>
    <row r="317" spans="1:21" ht="14.5" x14ac:dyDescent="0.35">
      <c r="A317" s="47" t="str">
        <f>IF('Salesforce Dump'!A314&lt;&gt;"",'Salesforce Dump'!A314,"")</f>
        <v/>
      </c>
      <c r="B317" s="48"/>
      <c r="C317" s="49" t="str">
        <f>IF('Salesforce Dump'!B314&lt;&gt;"",'Salesforce Dump'!B314,"")</f>
        <v/>
      </c>
      <c r="D317" s="48"/>
      <c r="E317" s="50" t="str">
        <f>IF('Salesforce Dump'!C314&lt;&gt;"",'Salesforce Dump'!C314,"")</f>
        <v/>
      </c>
      <c r="F317" s="49" t="str">
        <f>IF('Salesforce Dump'!D314&lt;&gt;"",'Salesforce Dump'!D314,"")</f>
        <v/>
      </c>
      <c r="G317" s="49" t="str">
        <f>IF('Salesforce Dump'!E314&lt;&gt;"",'Salesforce Dump'!E314,"")</f>
        <v/>
      </c>
      <c r="H317" s="49" t="str">
        <f>IF('Salesforce Dump'!G314&lt;&gt;"",'Salesforce Dump'!G314,"")</f>
        <v/>
      </c>
      <c r="I317" s="49" t="str">
        <f>IF('Salesforce Dump'!H314&lt;&gt;"",'Salesforce Dump'!H314,"")</f>
        <v/>
      </c>
      <c r="J317" s="51" t="str">
        <f>IF('Salesforce Dump'!I314&lt;&gt;"",'Salesforce Dump'!I314,"")</f>
        <v/>
      </c>
      <c r="K317" s="51" t="str">
        <f>IF('Salesforce Dump'!J314&lt;&gt;"",'Salesforce Dump'!J314,"")</f>
        <v/>
      </c>
      <c r="L317" s="52" t="str">
        <f>IFERROR(INDEX('OBA Dump'!C:C,MATCH($E317*1,'OBA Dump'!$A:$A,0)),"")</f>
        <v/>
      </c>
      <c r="M317" s="52" t="str">
        <f>IFERROR(INDEX('OBA Dump'!D:D,MATCH($E317*1,'OBA Dump'!$A:$A,0)),"")</f>
        <v/>
      </c>
      <c r="N317" s="52"/>
      <c r="O317" s="52"/>
      <c r="P317" s="53"/>
      <c r="Q317" s="52"/>
      <c r="R317" s="38" t="str">
        <f>_xlfn.IFNA(VLOOKUP(E317,'Pre-Booked Holidays'!A:B,2,0),"")</f>
        <v/>
      </c>
      <c r="S317" s="38" t="str">
        <f>IF(E317="","",IF(IFERROR(VLOOKUP(E317,'Onbase Report'!D:E,2,0),"")&lt;&gt;"","Details in Onbase","No Details"))</f>
        <v/>
      </c>
      <c r="T317" s="38" t="str">
        <f>IF(LEFT('Salesforce Dump'!Q314,5)="BHX10",LEFT('Salesforce Dump'!Q314,5),LEFT('Salesforce Dump'!Q314,4))</f>
        <v/>
      </c>
      <c r="U317" s="38"/>
    </row>
    <row r="318" spans="1:21" ht="14.5" x14ac:dyDescent="0.35">
      <c r="A318" s="47" t="str">
        <f>IF('Salesforce Dump'!A315&lt;&gt;"",'Salesforce Dump'!A315,"")</f>
        <v/>
      </c>
      <c r="B318" s="48"/>
      <c r="C318" s="49" t="str">
        <f>IF('Salesforce Dump'!B315&lt;&gt;"",'Salesforce Dump'!B315,"")</f>
        <v/>
      </c>
      <c r="D318" s="48"/>
      <c r="E318" s="50" t="str">
        <f>IF('Salesforce Dump'!C315&lt;&gt;"",'Salesforce Dump'!C315,"")</f>
        <v/>
      </c>
      <c r="F318" s="49" t="str">
        <f>IF('Salesforce Dump'!D315&lt;&gt;"",'Salesforce Dump'!D315,"")</f>
        <v/>
      </c>
      <c r="G318" s="49" t="str">
        <f>IF('Salesforce Dump'!E315&lt;&gt;"",'Salesforce Dump'!E315,"")</f>
        <v/>
      </c>
      <c r="H318" s="49" t="str">
        <f>IF('Salesforce Dump'!G315&lt;&gt;"",'Salesforce Dump'!G315,"")</f>
        <v/>
      </c>
      <c r="I318" s="49" t="str">
        <f>IF('Salesforce Dump'!H315&lt;&gt;"",'Salesforce Dump'!H315,"")</f>
        <v/>
      </c>
      <c r="J318" s="51" t="str">
        <f>IF('Salesforce Dump'!I315&lt;&gt;"",'Salesforce Dump'!I315,"")</f>
        <v/>
      </c>
      <c r="K318" s="51" t="str">
        <f>IF('Salesforce Dump'!J315&lt;&gt;"",'Salesforce Dump'!J315,"")</f>
        <v/>
      </c>
      <c r="L318" s="52" t="str">
        <f>IFERROR(INDEX('OBA Dump'!C:C,MATCH($E318*1,'OBA Dump'!$A:$A,0)),"")</f>
        <v/>
      </c>
      <c r="M318" s="52" t="str">
        <f>IFERROR(INDEX('OBA Dump'!D:D,MATCH($E318*1,'OBA Dump'!$A:$A,0)),"")</f>
        <v/>
      </c>
      <c r="N318" s="52"/>
      <c r="O318" s="52"/>
      <c r="P318" s="53"/>
      <c r="Q318" s="52"/>
      <c r="R318" s="38" t="str">
        <f>_xlfn.IFNA(VLOOKUP(E318,'Pre-Booked Holidays'!A:B,2,0),"")</f>
        <v/>
      </c>
      <c r="S318" s="38" t="str">
        <f>IF(E318="","",IF(IFERROR(VLOOKUP(E318,'Onbase Report'!D:E,2,0),"")&lt;&gt;"","Details in Onbase","No Details"))</f>
        <v/>
      </c>
      <c r="T318" s="38" t="str">
        <f>IF(LEFT('Salesforce Dump'!Q315,5)="BHX10",LEFT('Salesforce Dump'!Q315,5),LEFT('Salesforce Dump'!Q315,4))</f>
        <v/>
      </c>
      <c r="U318" s="38"/>
    </row>
    <row r="319" spans="1:21" ht="14.5" x14ac:dyDescent="0.35">
      <c r="A319" s="47" t="str">
        <f>IF('Salesforce Dump'!A316&lt;&gt;"",'Salesforce Dump'!A316,"")</f>
        <v/>
      </c>
      <c r="B319" s="48"/>
      <c r="C319" s="49" t="str">
        <f>IF('Salesforce Dump'!B316&lt;&gt;"",'Salesforce Dump'!B316,"")</f>
        <v/>
      </c>
      <c r="D319" s="48"/>
      <c r="E319" s="50" t="str">
        <f>IF('Salesforce Dump'!C316&lt;&gt;"",'Salesforce Dump'!C316,"")</f>
        <v/>
      </c>
      <c r="F319" s="49" t="str">
        <f>IF('Salesforce Dump'!D316&lt;&gt;"",'Salesforce Dump'!D316,"")</f>
        <v/>
      </c>
      <c r="G319" s="49" t="str">
        <f>IF('Salesforce Dump'!E316&lt;&gt;"",'Salesforce Dump'!E316,"")</f>
        <v/>
      </c>
      <c r="H319" s="49" t="str">
        <f>IF('Salesforce Dump'!G316&lt;&gt;"",'Salesforce Dump'!G316,"")</f>
        <v/>
      </c>
      <c r="I319" s="49" t="str">
        <f>IF('Salesforce Dump'!H316&lt;&gt;"",'Salesforce Dump'!H316,"")</f>
        <v/>
      </c>
      <c r="J319" s="51" t="str">
        <f>IF('Salesforce Dump'!I316&lt;&gt;"",'Salesforce Dump'!I316,"")</f>
        <v/>
      </c>
      <c r="K319" s="51" t="str">
        <f>IF('Salesforce Dump'!J316&lt;&gt;"",'Salesforce Dump'!J316,"")</f>
        <v/>
      </c>
      <c r="L319" s="52" t="str">
        <f>IFERROR(INDEX('OBA Dump'!C:C,MATCH($E319*1,'OBA Dump'!$A:$A,0)),"")</f>
        <v/>
      </c>
      <c r="M319" s="52" t="str">
        <f>IFERROR(INDEX('OBA Dump'!D:D,MATCH($E319*1,'OBA Dump'!$A:$A,0)),"")</f>
        <v/>
      </c>
      <c r="N319" s="52"/>
      <c r="O319" s="52"/>
      <c r="P319" s="53"/>
      <c r="Q319" s="52"/>
      <c r="R319" s="38" t="str">
        <f>_xlfn.IFNA(VLOOKUP(E319,'Pre-Booked Holidays'!A:B,2,0),"")</f>
        <v/>
      </c>
      <c r="S319" s="38" t="str">
        <f>IF(E319="","",IF(IFERROR(VLOOKUP(E319,'Onbase Report'!D:E,2,0),"")&lt;&gt;"","Details in Onbase","No Details"))</f>
        <v/>
      </c>
      <c r="T319" s="38" t="str">
        <f>IF(LEFT('Salesforce Dump'!Q316,5)="BHX10",LEFT('Salesforce Dump'!Q316,5),LEFT('Salesforce Dump'!Q316,4))</f>
        <v/>
      </c>
      <c r="U319" s="38"/>
    </row>
    <row r="320" spans="1:21" ht="14.5" x14ac:dyDescent="0.35">
      <c r="A320" s="47" t="str">
        <f>IF('Salesforce Dump'!A317&lt;&gt;"",'Salesforce Dump'!A317,"")</f>
        <v/>
      </c>
      <c r="B320" s="48"/>
      <c r="C320" s="49" t="str">
        <f>IF('Salesforce Dump'!B317&lt;&gt;"",'Salesforce Dump'!B317,"")</f>
        <v/>
      </c>
      <c r="D320" s="48"/>
      <c r="E320" s="50" t="str">
        <f>IF('Salesforce Dump'!C317&lt;&gt;"",'Salesforce Dump'!C317,"")</f>
        <v/>
      </c>
      <c r="F320" s="49" t="str">
        <f>IF('Salesforce Dump'!D317&lt;&gt;"",'Salesforce Dump'!D317,"")</f>
        <v/>
      </c>
      <c r="G320" s="49" t="str">
        <f>IF('Salesforce Dump'!E317&lt;&gt;"",'Salesforce Dump'!E317,"")</f>
        <v/>
      </c>
      <c r="H320" s="49" t="str">
        <f>IF('Salesforce Dump'!G317&lt;&gt;"",'Salesforce Dump'!G317,"")</f>
        <v/>
      </c>
      <c r="I320" s="49" t="str">
        <f>IF('Salesforce Dump'!H317&lt;&gt;"",'Salesforce Dump'!H317,"")</f>
        <v/>
      </c>
      <c r="J320" s="51" t="str">
        <f>IF('Salesforce Dump'!I317&lt;&gt;"",'Salesforce Dump'!I317,"")</f>
        <v/>
      </c>
      <c r="K320" s="51" t="str">
        <f>IF('Salesforce Dump'!J317&lt;&gt;"",'Salesforce Dump'!J317,"")</f>
        <v/>
      </c>
      <c r="L320" s="52" t="str">
        <f>IFERROR(INDEX('OBA Dump'!C:C,MATCH($E320*1,'OBA Dump'!$A:$A,0)),"")</f>
        <v/>
      </c>
      <c r="M320" s="52" t="str">
        <f>IFERROR(INDEX('OBA Dump'!D:D,MATCH($E320*1,'OBA Dump'!$A:$A,0)),"")</f>
        <v/>
      </c>
      <c r="N320" s="52"/>
      <c r="O320" s="52"/>
      <c r="P320" s="53"/>
      <c r="Q320" s="52"/>
      <c r="R320" s="38" t="str">
        <f>_xlfn.IFNA(VLOOKUP(E320,'Pre-Booked Holidays'!A:B,2,0),"")</f>
        <v/>
      </c>
      <c r="S320" s="38" t="str">
        <f>IF(E320="","",IF(IFERROR(VLOOKUP(E320,'Onbase Report'!D:E,2,0),"")&lt;&gt;"","Details in Onbase","No Details"))</f>
        <v/>
      </c>
      <c r="T320" s="38" t="str">
        <f>IF(LEFT('Salesforce Dump'!Q317,5)="BHX10",LEFT('Salesforce Dump'!Q317,5),LEFT('Salesforce Dump'!Q317,4))</f>
        <v/>
      </c>
      <c r="U320" s="38"/>
    </row>
    <row r="321" spans="1:21" ht="14.5" x14ac:dyDescent="0.35">
      <c r="A321" s="47" t="str">
        <f>IF('Salesforce Dump'!A318&lt;&gt;"",'Salesforce Dump'!A318,"")</f>
        <v/>
      </c>
      <c r="B321" s="48"/>
      <c r="C321" s="49" t="str">
        <f>IF('Salesforce Dump'!B318&lt;&gt;"",'Salesforce Dump'!B318,"")</f>
        <v/>
      </c>
      <c r="D321" s="48"/>
      <c r="E321" s="50" t="str">
        <f>IF('Salesforce Dump'!C318&lt;&gt;"",'Salesforce Dump'!C318,"")</f>
        <v/>
      </c>
      <c r="F321" s="49" t="str">
        <f>IF('Salesforce Dump'!D318&lt;&gt;"",'Salesforce Dump'!D318,"")</f>
        <v/>
      </c>
      <c r="G321" s="49" t="str">
        <f>IF('Salesforce Dump'!E318&lt;&gt;"",'Salesforce Dump'!E318,"")</f>
        <v/>
      </c>
      <c r="H321" s="49" t="str">
        <f>IF('Salesforce Dump'!G318&lt;&gt;"",'Salesforce Dump'!G318,"")</f>
        <v/>
      </c>
      <c r="I321" s="49" t="str">
        <f>IF('Salesforce Dump'!H318&lt;&gt;"",'Salesforce Dump'!H318,"")</f>
        <v/>
      </c>
      <c r="J321" s="51" t="str">
        <f>IF('Salesforce Dump'!I318&lt;&gt;"",'Salesforce Dump'!I318,"")</f>
        <v/>
      </c>
      <c r="K321" s="51" t="str">
        <f>IF('Salesforce Dump'!J318&lt;&gt;"",'Salesforce Dump'!J318,"")</f>
        <v/>
      </c>
      <c r="L321" s="52" t="str">
        <f>IFERROR(INDEX('OBA Dump'!C:C,MATCH($E321*1,'OBA Dump'!$A:$A,0)),"")</f>
        <v/>
      </c>
      <c r="M321" s="52" t="str">
        <f>IFERROR(INDEX('OBA Dump'!D:D,MATCH($E321*1,'OBA Dump'!$A:$A,0)),"")</f>
        <v/>
      </c>
      <c r="N321" s="52"/>
      <c r="O321" s="52"/>
      <c r="P321" s="53"/>
      <c r="Q321" s="52"/>
      <c r="R321" s="38" t="str">
        <f>_xlfn.IFNA(VLOOKUP(E321,'Pre-Booked Holidays'!A:B,2,0),"")</f>
        <v/>
      </c>
      <c r="S321" s="38" t="str">
        <f>IF(E321="","",IF(IFERROR(VLOOKUP(E321,'Onbase Report'!D:E,2,0),"")&lt;&gt;"","Details in Onbase","No Details"))</f>
        <v/>
      </c>
      <c r="T321" s="38" t="str">
        <f>IF(LEFT('Salesforce Dump'!Q318,5)="BHX10",LEFT('Salesforce Dump'!Q318,5),LEFT('Salesforce Dump'!Q318,4))</f>
        <v/>
      </c>
      <c r="U321" s="38"/>
    </row>
    <row r="322" spans="1:21" ht="14.5" x14ac:dyDescent="0.35">
      <c r="A322" s="47" t="str">
        <f>IF('Salesforce Dump'!A319&lt;&gt;"",'Salesforce Dump'!A319,"")</f>
        <v/>
      </c>
      <c r="B322" s="48"/>
      <c r="C322" s="49" t="str">
        <f>IF('Salesforce Dump'!B319&lt;&gt;"",'Salesforce Dump'!B319,"")</f>
        <v/>
      </c>
      <c r="D322" s="48"/>
      <c r="E322" s="50" t="str">
        <f>IF('Salesforce Dump'!C319&lt;&gt;"",'Salesforce Dump'!C319,"")</f>
        <v/>
      </c>
      <c r="F322" s="49" t="str">
        <f>IF('Salesforce Dump'!D319&lt;&gt;"",'Salesforce Dump'!D319,"")</f>
        <v/>
      </c>
      <c r="G322" s="49" t="str">
        <f>IF('Salesforce Dump'!E319&lt;&gt;"",'Salesforce Dump'!E319,"")</f>
        <v/>
      </c>
      <c r="H322" s="49" t="str">
        <f>IF('Salesforce Dump'!G319&lt;&gt;"",'Salesforce Dump'!G319,"")</f>
        <v/>
      </c>
      <c r="I322" s="49" t="str">
        <f>IF('Salesforce Dump'!H319&lt;&gt;"",'Salesforce Dump'!H319,"")</f>
        <v/>
      </c>
      <c r="J322" s="51" t="str">
        <f>IF('Salesforce Dump'!I319&lt;&gt;"",'Salesforce Dump'!I319,"")</f>
        <v/>
      </c>
      <c r="K322" s="51" t="str">
        <f>IF('Salesforce Dump'!J319&lt;&gt;"",'Salesforce Dump'!J319,"")</f>
        <v/>
      </c>
      <c r="L322" s="52" t="str">
        <f>IFERROR(INDEX('OBA Dump'!C:C,MATCH($E322*1,'OBA Dump'!$A:$A,0)),"")</f>
        <v/>
      </c>
      <c r="M322" s="52" t="str">
        <f>IFERROR(INDEX('OBA Dump'!D:D,MATCH($E322*1,'OBA Dump'!$A:$A,0)),"")</f>
        <v/>
      </c>
      <c r="N322" s="52"/>
      <c r="O322" s="52"/>
      <c r="P322" s="53"/>
      <c r="Q322" s="52"/>
      <c r="R322" s="38" t="str">
        <f>_xlfn.IFNA(VLOOKUP(E322,'Pre-Booked Holidays'!A:B,2,0),"")</f>
        <v/>
      </c>
      <c r="S322" s="38" t="str">
        <f>IF(E322="","",IF(IFERROR(VLOOKUP(E322,'Onbase Report'!D:E,2,0),"")&lt;&gt;"","Details in Onbase","No Details"))</f>
        <v/>
      </c>
      <c r="T322" s="38" t="str">
        <f>IF(LEFT('Salesforce Dump'!Q319,5)="BHX10",LEFT('Salesforce Dump'!Q319,5),LEFT('Salesforce Dump'!Q319,4))</f>
        <v/>
      </c>
      <c r="U322" s="38"/>
    </row>
    <row r="323" spans="1:21" ht="14.5" x14ac:dyDescent="0.35">
      <c r="A323" s="47" t="str">
        <f>IF('Salesforce Dump'!A320&lt;&gt;"",'Salesforce Dump'!A320,"")</f>
        <v/>
      </c>
      <c r="B323" s="48"/>
      <c r="C323" s="49" t="str">
        <f>IF('Salesforce Dump'!B320&lt;&gt;"",'Salesforce Dump'!B320,"")</f>
        <v/>
      </c>
      <c r="D323" s="48"/>
      <c r="E323" s="50" t="str">
        <f>IF('Salesforce Dump'!C320&lt;&gt;"",'Salesforce Dump'!C320,"")</f>
        <v/>
      </c>
      <c r="F323" s="49" t="str">
        <f>IF('Salesforce Dump'!D320&lt;&gt;"",'Salesforce Dump'!D320,"")</f>
        <v/>
      </c>
      <c r="G323" s="49" t="str">
        <f>IF('Salesforce Dump'!E320&lt;&gt;"",'Salesforce Dump'!E320,"")</f>
        <v/>
      </c>
      <c r="H323" s="49" t="str">
        <f>IF('Salesforce Dump'!G320&lt;&gt;"",'Salesforce Dump'!G320,"")</f>
        <v/>
      </c>
      <c r="I323" s="49" t="str">
        <f>IF('Salesforce Dump'!H320&lt;&gt;"",'Salesforce Dump'!H320,"")</f>
        <v/>
      </c>
      <c r="J323" s="51" t="str">
        <f>IF('Salesforce Dump'!I320&lt;&gt;"",'Salesforce Dump'!I320,"")</f>
        <v/>
      </c>
      <c r="K323" s="51" t="str">
        <f>IF('Salesforce Dump'!J320&lt;&gt;"",'Salesforce Dump'!J320,"")</f>
        <v/>
      </c>
      <c r="L323" s="52" t="str">
        <f>IFERROR(INDEX('OBA Dump'!C:C,MATCH($E323*1,'OBA Dump'!$A:$A,0)),"")</f>
        <v/>
      </c>
      <c r="M323" s="52" t="str">
        <f>IFERROR(INDEX('OBA Dump'!D:D,MATCH($E323*1,'OBA Dump'!$A:$A,0)),"")</f>
        <v/>
      </c>
      <c r="N323" s="52"/>
      <c r="O323" s="52"/>
      <c r="P323" s="53"/>
      <c r="Q323" s="52"/>
      <c r="R323" s="38" t="str">
        <f>_xlfn.IFNA(VLOOKUP(E323,'Pre-Booked Holidays'!A:B,2,0),"")</f>
        <v/>
      </c>
      <c r="S323" s="38" t="str">
        <f>IF(E323="","",IF(IFERROR(VLOOKUP(E323,'Onbase Report'!D:E,2,0),"")&lt;&gt;"","Details in Onbase","No Details"))</f>
        <v/>
      </c>
      <c r="T323" s="38" t="str">
        <f>IF(LEFT('Salesforce Dump'!Q320,5)="BHX10",LEFT('Salesforce Dump'!Q320,5),LEFT('Salesforce Dump'!Q320,4))</f>
        <v/>
      </c>
      <c r="U323" s="38"/>
    </row>
    <row r="324" spans="1:21" ht="14.5" x14ac:dyDescent="0.35">
      <c r="A324" s="47" t="str">
        <f>IF('Salesforce Dump'!A321&lt;&gt;"",'Salesforce Dump'!A321,"")</f>
        <v/>
      </c>
      <c r="B324" s="48"/>
      <c r="C324" s="49" t="str">
        <f>IF('Salesforce Dump'!B321&lt;&gt;"",'Salesforce Dump'!B321,"")</f>
        <v/>
      </c>
      <c r="D324" s="48"/>
      <c r="E324" s="50" t="str">
        <f>IF('Salesforce Dump'!C321&lt;&gt;"",'Salesforce Dump'!C321,"")</f>
        <v/>
      </c>
      <c r="F324" s="49" t="str">
        <f>IF('Salesforce Dump'!D321&lt;&gt;"",'Salesforce Dump'!D321,"")</f>
        <v/>
      </c>
      <c r="G324" s="49" t="str">
        <f>IF('Salesforce Dump'!E321&lt;&gt;"",'Salesforce Dump'!E321,"")</f>
        <v/>
      </c>
      <c r="H324" s="49" t="str">
        <f>IF('Salesforce Dump'!G321&lt;&gt;"",'Salesforce Dump'!G321,"")</f>
        <v/>
      </c>
      <c r="I324" s="49" t="str">
        <f>IF('Salesforce Dump'!H321&lt;&gt;"",'Salesforce Dump'!H321,"")</f>
        <v/>
      </c>
      <c r="J324" s="51" t="str">
        <f>IF('Salesforce Dump'!I321&lt;&gt;"",'Salesforce Dump'!I321,"")</f>
        <v/>
      </c>
      <c r="K324" s="51" t="str">
        <f>IF('Salesforce Dump'!J321&lt;&gt;"",'Salesforce Dump'!J321,"")</f>
        <v/>
      </c>
      <c r="L324" s="52" t="str">
        <f>IFERROR(INDEX('OBA Dump'!C:C,MATCH($E324*1,'OBA Dump'!$A:$A,0)),"")</f>
        <v/>
      </c>
      <c r="M324" s="52" t="str">
        <f>IFERROR(INDEX('OBA Dump'!D:D,MATCH($E324*1,'OBA Dump'!$A:$A,0)),"")</f>
        <v/>
      </c>
      <c r="N324" s="52"/>
      <c r="O324" s="52"/>
      <c r="P324" s="53"/>
      <c r="Q324" s="52"/>
      <c r="R324" s="38" t="str">
        <f>_xlfn.IFNA(VLOOKUP(E324,'Pre-Booked Holidays'!A:B,2,0),"")</f>
        <v/>
      </c>
      <c r="S324" s="38" t="str">
        <f>IF(E324="","",IF(IFERROR(VLOOKUP(E324,'Onbase Report'!D:E,2,0),"")&lt;&gt;"","Details in Onbase","No Details"))</f>
        <v/>
      </c>
      <c r="T324" s="38" t="str">
        <f>IF(LEFT('Salesforce Dump'!Q321,5)="BHX10",LEFT('Salesforce Dump'!Q321,5),LEFT('Salesforce Dump'!Q321,4))</f>
        <v/>
      </c>
      <c r="U324" s="38"/>
    </row>
    <row r="325" spans="1:21" ht="14.5" x14ac:dyDescent="0.35">
      <c r="A325" s="47" t="str">
        <f>IF('Salesforce Dump'!A322&lt;&gt;"",'Salesforce Dump'!A322,"")</f>
        <v/>
      </c>
      <c r="B325" s="48"/>
      <c r="C325" s="49" t="str">
        <f>IF('Salesforce Dump'!B322&lt;&gt;"",'Salesforce Dump'!B322,"")</f>
        <v/>
      </c>
      <c r="D325" s="48"/>
      <c r="E325" s="50" t="str">
        <f>IF('Salesforce Dump'!C322&lt;&gt;"",'Salesforce Dump'!C322,"")</f>
        <v/>
      </c>
      <c r="F325" s="49" t="str">
        <f>IF('Salesforce Dump'!D322&lt;&gt;"",'Salesforce Dump'!D322,"")</f>
        <v/>
      </c>
      <c r="G325" s="49" t="str">
        <f>IF('Salesforce Dump'!E322&lt;&gt;"",'Salesforce Dump'!E322,"")</f>
        <v/>
      </c>
      <c r="H325" s="49" t="str">
        <f>IF('Salesforce Dump'!G322&lt;&gt;"",'Salesforce Dump'!G322,"")</f>
        <v/>
      </c>
      <c r="I325" s="49" t="str">
        <f>IF('Salesforce Dump'!H322&lt;&gt;"",'Salesforce Dump'!H322,"")</f>
        <v/>
      </c>
      <c r="J325" s="51" t="str">
        <f>IF('Salesforce Dump'!I322&lt;&gt;"",'Salesforce Dump'!I322,"")</f>
        <v/>
      </c>
      <c r="K325" s="51" t="str">
        <f>IF('Salesforce Dump'!J322&lt;&gt;"",'Salesforce Dump'!J322,"")</f>
        <v/>
      </c>
      <c r="L325" s="52" t="str">
        <f>IFERROR(INDEX('OBA Dump'!C:C,MATCH($E325*1,'OBA Dump'!$A:$A,0)),"")</f>
        <v/>
      </c>
      <c r="M325" s="52" t="str">
        <f>IFERROR(INDEX('OBA Dump'!D:D,MATCH($E325*1,'OBA Dump'!$A:$A,0)),"")</f>
        <v/>
      </c>
      <c r="N325" s="52"/>
      <c r="O325" s="52"/>
      <c r="P325" s="53"/>
      <c r="Q325" s="52"/>
      <c r="R325" s="38" t="str">
        <f>_xlfn.IFNA(VLOOKUP(E325,'Pre-Booked Holidays'!A:B,2,0),"")</f>
        <v/>
      </c>
      <c r="S325" s="38" t="str">
        <f>IF(E325="","",IF(IFERROR(VLOOKUP(E325,'Onbase Report'!D:E,2,0),"")&lt;&gt;"","Details in Onbase","No Details"))</f>
        <v/>
      </c>
      <c r="T325" s="38" t="str">
        <f>IF(LEFT('Salesforce Dump'!Q322,5)="BHX10",LEFT('Salesforce Dump'!Q322,5),LEFT('Salesforce Dump'!Q322,4))</f>
        <v/>
      </c>
      <c r="U325" s="38"/>
    </row>
    <row r="326" spans="1:21" ht="14.5" x14ac:dyDescent="0.35">
      <c r="A326" s="47" t="str">
        <f>IF('Salesforce Dump'!A323&lt;&gt;"",'Salesforce Dump'!A323,"")</f>
        <v/>
      </c>
      <c r="B326" s="48"/>
      <c r="C326" s="49" t="str">
        <f>IF('Salesforce Dump'!B323&lt;&gt;"",'Salesforce Dump'!B323,"")</f>
        <v/>
      </c>
      <c r="D326" s="48"/>
      <c r="E326" s="50" t="str">
        <f>IF('Salesforce Dump'!C323&lt;&gt;"",'Salesforce Dump'!C323,"")</f>
        <v/>
      </c>
      <c r="F326" s="49" t="str">
        <f>IF('Salesforce Dump'!D323&lt;&gt;"",'Salesforce Dump'!D323,"")</f>
        <v/>
      </c>
      <c r="G326" s="49" t="str">
        <f>IF('Salesforce Dump'!E323&lt;&gt;"",'Salesforce Dump'!E323,"")</f>
        <v/>
      </c>
      <c r="H326" s="49" t="str">
        <f>IF('Salesforce Dump'!G323&lt;&gt;"",'Salesforce Dump'!G323,"")</f>
        <v/>
      </c>
      <c r="I326" s="49" t="str">
        <f>IF('Salesforce Dump'!H323&lt;&gt;"",'Salesforce Dump'!H323,"")</f>
        <v/>
      </c>
      <c r="J326" s="51" t="str">
        <f>IF('Salesforce Dump'!I323&lt;&gt;"",'Salesforce Dump'!I323,"")</f>
        <v/>
      </c>
      <c r="K326" s="51" t="str">
        <f>IF('Salesforce Dump'!J323&lt;&gt;"",'Salesforce Dump'!J323,"")</f>
        <v/>
      </c>
      <c r="L326" s="52" t="str">
        <f>IFERROR(INDEX('OBA Dump'!C:C,MATCH($E326*1,'OBA Dump'!$A:$A,0)),"")</f>
        <v/>
      </c>
      <c r="M326" s="52" t="str">
        <f>IFERROR(INDEX('OBA Dump'!D:D,MATCH($E326*1,'OBA Dump'!$A:$A,0)),"")</f>
        <v/>
      </c>
      <c r="N326" s="52"/>
      <c r="O326" s="52"/>
      <c r="P326" s="53"/>
      <c r="Q326" s="52"/>
      <c r="R326" s="38" t="str">
        <f>_xlfn.IFNA(VLOOKUP(E326,'Pre-Booked Holidays'!A:B,2,0),"")</f>
        <v/>
      </c>
      <c r="S326" s="38" t="str">
        <f>IF(E326="","",IF(IFERROR(VLOOKUP(E326,'Onbase Report'!D:E,2,0),"")&lt;&gt;"","Details in Onbase","No Details"))</f>
        <v/>
      </c>
      <c r="T326" s="38" t="str">
        <f>IF(LEFT('Salesforce Dump'!Q323,5)="BHX10",LEFT('Salesforce Dump'!Q323,5),LEFT('Salesforce Dump'!Q323,4))</f>
        <v/>
      </c>
      <c r="U326" s="38"/>
    </row>
    <row r="327" spans="1:21" ht="14.5" x14ac:dyDescent="0.35">
      <c r="A327" s="47" t="str">
        <f>IF('Salesforce Dump'!A324&lt;&gt;"",'Salesforce Dump'!A324,"")</f>
        <v/>
      </c>
      <c r="B327" s="48"/>
      <c r="C327" s="49" t="str">
        <f>IF('Salesforce Dump'!B324&lt;&gt;"",'Salesforce Dump'!B324,"")</f>
        <v/>
      </c>
      <c r="D327" s="48"/>
      <c r="E327" s="50" t="str">
        <f>IF('Salesforce Dump'!C324&lt;&gt;"",'Salesforce Dump'!C324,"")</f>
        <v/>
      </c>
      <c r="F327" s="49" t="str">
        <f>IF('Salesforce Dump'!D324&lt;&gt;"",'Salesforce Dump'!D324,"")</f>
        <v/>
      </c>
      <c r="G327" s="49" t="str">
        <f>IF('Salesforce Dump'!E324&lt;&gt;"",'Salesforce Dump'!E324,"")</f>
        <v/>
      </c>
      <c r="H327" s="49" t="str">
        <f>IF('Salesforce Dump'!G324&lt;&gt;"",'Salesforce Dump'!G324,"")</f>
        <v/>
      </c>
      <c r="I327" s="49" t="str">
        <f>IF('Salesforce Dump'!H324&lt;&gt;"",'Salesforce Dump'!H324,"")</f>
        <v/>
      </c>
      <c r="J327" s="51" t="str">
        <f>IF('Salesforce Dump'!I324&lt;&gt;"",'Salesforce Dump'!I324,"")</f>
        <v/>
      </c>
      <c r="K327" s="51" t="str">
        <f>IF('Salesforce Dump'!J324&lt;&gt;"",'Salesforce Dump'!J324,"")</f>
        <v/>
      </c>
      <c r="L327" s="52" t="str">
        <f>IFERROR(INDEX('OBA Dump'!C:C,MATCH($E327*1,'OBA Dump'!$A:$A,0)),"")</f>
        <v/>
      </c>
      <c r="M327" s="52" t="str">
        <f>IFERROR(INDEX('OBA Dump'!D:D,MATCH($E327*1,'OBA Dump'!$A:$A,0)),"")</f>
        <v/>
      </c>
      <c r="N327" s="52"/>
      <c r="O327" s="52"/>
      <c r="P327" s="53"/>
      <c r="Q327" s="52"/>
      <c r="R327" s="38" t="str">
        <f>_xlfn.IFNA(VLOOKUP(E327,'Pre-Booked Holidays'!A:B,2,0),"")</f>
        <v/>
      </c>
      <c r="S327" s="38" t="str">
        <f>IF(E327="","",IF(IFERROR(VLOOKUP(E327,'Onbase Report'!D:E,2,0),"")&lt;&gt;"","Details in Onbase","No Details"))</f>
        <v/>
      </c>
      <c r="T327" s="38" t="str">
        <f>IF(LEFT('Salesforce Dump'!Q324,5)="BHX10",LEFT('Salesforce Dump'!Q324,5),LEFT('Salesforce Dump'!Q324,4))</f>
        <v/>
      </c>
      <c r="U327" s="38"/>
    </row>
    <row r="328" spans="1:21" ht="14.5" x14ac:dyDescent="0.35">
      <c r="A328" s="47" t="str">
        <f>IF('Salesforce Dump'!A325&lt;&gt;"",'Salesforce Dump'!A325,"")</f>
        <v/>
      </c>
      <c r="B328" s="48"/>
      <c r="C328" s="49" t="str">
        <f>IF('Salesforce Dump'!B325&lt;&gt;"",'Salesforce Dump'!B325,"")</f>
        <v/>
      </c>
      <c r="D328" s="48"/>
      <c r="E328" s="50" t="str">
        <f>IF('Salesforce Dump'!C325&lt;&gt;"",'Salesforce Dump'!C325,"")</f>
        <v/>
      </c>
      <c r="F328" s="49" t="str">
        <f>IF('Salesforce Dump'!D325&lt;&gt;"",'Salesforce Dump'!D325,"")</f>
        <v/>
      </c>
      <c r="G328" s="49" t="str">
        <f>IF('Salesforce Dump'!E325&lt;&gt;"",'Salesforce Dump'!E325,"")</f>
        <v/>
      </c>
      <c r="H328" s="49" t="str">
        <f>IF('Salesforce Dump'!G325&lt;&gt;"",'Salesforce Dump'!G325,"")</f>
        <v/>
      </c>
      <c r="I328" s="49" t="str">
        <f>IF('Salesforce Dump'!H325&lt;&gt;"",'Salesforce Dump'!H325,"")</f>
        <v/>
      </c>
      <c r="J328" s="51" t="str">
        <f>IF('Salesforce Dump'!I325&lt;&gt;"",'Salesforce Dump'!I325,"")</f>
        <v/>
      </c>
      <c r="K328" s="51" t="str">
        <f>IF('Salesforce Dump'!J325&lt;&gt;"",'Salesforce Dump'!J325,"")</f>
        <v/>
      </c>
      <c r="L328" s="52" t="str">
        <f>IFERROR(INDEX('OBA Dump'!C:C,MATCH($E328*1,'OBA Dump'!$A:$A,0)),"")</f>
        <v/>
      </c>
      <c r="M328" s="52" t="str">
        <f>IFERROR(INDEX('OBA Dump'!D:D,MATCH($E328*1,'OBA Dump'!$A:$A,0)),"")</f>
        <v/>
      </c>
      <c r="N328" s="52"/>
      <c r="O328" s="52"/>
      <c r="P328" s="53"/>
      <c r="Q328" s="52"/>
      <c r="R328" s="38" t="str">
        <f>_xlfn.IFNA(VLOOKUP(E328,'Pre-Booked Holidays'!A:B,2,0),"")</f>
        <v/>
      </c>
      <c r="S328" s="38" t="str">
        <f>IF(E328="","",IF(IFERROR(VLOOKUP(E328,'Onbase Report'!D:E,2,0),"")&lt;&gt;"","Details in Onbase","No Details"))</f>
        <v/>
      </c>
      <c r="T328" s="38" t="str">
        <f>IF(LEFT('Salesforce Dump'!Q325,5)="BHX10",LEFT('Salesforce Dump'!Q325,5),LEFT('Salesforce Dump'!Q325,4))</f>
        <v/>
      </c>
      <c r="U328" s="38"/>
    </row>
    <row r="329" spans="1:21" ht="14.5" x14ac:dyDescent="0.35">
      <c r="A329" s="47" t="str">
        <f>IF('Salesforce Dump'!A326&lt;&gt;"",'Salesforce Dump'!A326,"")</f>
        <v/>
      </c>
      <c r="B329" s="48"/>
      <c r="C329" s="49" t="str">
        <f>IF('Salesforce Dump'!B326&lt;&gt;"",'Salesforce Dump'!B326,"")</f>
        <v/>
      </c>
      <c r="D329" s="48"/>
      <c r="E329" s="50" t="str">
        <f>IF('Salesforce Dump'!C326&lt;&gt;"",'Salesforce Dump'!C326,"")</f>
        <v/>
      </c>
      <c r="F329" s="49" t="str">
        <f>IF('Salesforce Dump'!D326&lt;&gt;"",'Salesforce Dump'!D326,"")</f>
        <v/>
      </c>
      <c r="G329" s="49" t="str">
        <f>IF('Salesforce Dump'!E326&lt;&gt;"",'Salesforce Dump'!E326,"")</f>
        <v/>
      </c>
      <c r="H329" s="49" t="str">
        <f>IF('Salesforce Dump'!G326&lt;&gt;"",'Salesforce Dump'!G326,"")</f>
        <v/>
      </c>
      <c r="I329" s="49" t="str">
        <f>IF('Salesforce Dump'!H326&lt;&gt;"",'Salesforce Dump'!H326,"")</f>
        <v/>
      </c>
      <c r="J329" s="51" t="str">
        <f>IF('Salesforce Dump'!I326&lt;&gt;"",'Salesforce Dump'!I326,"")</f>
        <v/>
      </c>
      <c r="K329" s="51" t="str">
        <f>IF('Salesforce Dump'!J326&lt;&gt;"",'Salesforce Dump'!J326,"")</f>
        <v/>
      </c>
      <c r="L329" s="52" t="str">
        <f>IFERROR(INDEX('OBA Dump'!C:C,MATCH($E329*1,'OBA Dump'!$A:$A,0)),"")</f>
        <v/>
      </c>
      <c r="M329" s="52" t="str">
        <f>IFERROR(INDEX('OBA Dump'!D:D,MATCH($E329*1,'OBA Dump'!$A:$A,0)),"")</f>
        <v/>
      </c>
      <c r="N329" s="52"/>
      <c r="O329" s="52"/>
      <c r="P329" s="53"/>
      <c r="Q329" s="52"/>
      <c r="R329" s="38" t="str">
        <f>_xlfn.IFNA(VLOOKUP(E329,'Pre-Booked Holidays'!A:B,2,0),"")</f>
        <v/>
      </c>
      <c r="S329" s="38" t="str">
        <f>IF(E329="","",IF(IFERROR(VLOOKUP(E329,'Onbase Report'!D:E,2,0),"")&lt;&gt;"","Details in Onbase","No Details"))</f>
        <v/>
      </c>
      <c r="T329" s="38" t="str">
        <f>IF(LEFT('Salesforce Dump'!Q326,5)="BHX10",LEFT('Salesforce Dump'!Q326,5),LEFT('Salesforce Dump'!Q326,4))</f>
        <v/>
      </c>
      <c r="U329" s="38"/>
    </row>
    <row r="330" spans="1:21" ht="14.5" x14ac:dyDescent="0.35">
      <c r="A330" s="47" t="str">
        <f>IF('Salesforce Dump'!A327&lt;&gt;"",'Salesforce Dump'!A327,"")</f>
        <v/>
      </c>
      <c r="B330" s="48"/>
      <c r="C330" s="49" t="str">
        <f>IF('Salesforce Dump'!B327&lt;&gt;"",'Salesforce Dump'!B327,"")</f>
        <v/>
      </c>
      <c r="D330" s="48"/>
      <c r="E330" s="50" t="str">
        <f>IF('Salesforce Dump'!C327&lt;&gt;"",'Salesforce Dump'!C327,"")</f>
        <v/>
      </c>
      <c r="F330" s="49" t="str">
        <f>IF('Salesforce Dump'!D327&lt;&gt;"",'Salesforce Dump'!D327,"")</f>
        <v/>
      </c>
      <c r="G330" s="49" t="str">
        <f>IF('Salesforce Dump'!E327&lt;&gt;"",'Salesforce Dump'!E327,"")</f>
        <v/>
      </c>
      <c r="H330" s="49" t="str">
        <f>IF('Salesforce Dump'!G327&lt;&gt;"",'Salesforce Dump'!G327,"")</f>
        <v/>
      </c>
      <c r="I330" s="49" t="str">
        <f>IF('Salesforce Dump'!H327&lt;&gt;"",'Salesforce Dump'!H327,"")</f>
        <v/>
      </c>
      <c r="J330" s="51" t="str">
        <f>IF('Salesforce Dump'!I327&lt;&gt;"",'Salesforce Dump'!I327,"")</f>
        <v/>
      </c>
      <c r="K330" s="51" t="str">
        <f>IF('Salesforce Dump'!J327&lt;&gt;"",'Salesforce Dump'!J327,"")</f>
        <v/>
      </c>
      <c r="L330" s="52" t="str">
        <f>IFERROR(INDEX('OBA Dump'!C:C,MATCH($E330*1,'OBA Dump'!$A:$A,0)),"")</f>
        <v/>
      </c>
      <c r="M330" s="52" t="str">
        <f>IFERROR(INDEX('OBA Dump'!D:D,MATCH($E330*1,'OBA Dump'!$A:$A,0)),"")</f>
        <v/>
      </c>
      <c r="N330" s="52"/>
      <c r="O330" s="52"/>
      <c r="P330" s="53"/>
      <c r="Q330" s="52"/>
      <c r="R330" s="38" t="str">
        <f>_xlfn.IFNA(VLOOKUP(E330,'Pre-Booked Holidays'!A:B,2,0),"")</f>
        <v/>
      </c>
      <c r="S330" s="38" t="str">
        <f>IF(E330="","",IF(IFERROR(VLOOKUP(E330,'Onbase Report'!D:E,2,0),"")&lt;&gt;"","Details in Onbase","No Details"))</f>
        <v/>
      </c>
      <c r="T330" s="38" t="str">
        <f>IF(LEFT('Salesforce Dump'!Q327,5)="BHX10",LEFT('Salesforce Dump'!Q327,5),LEFT('Salesforce Dump'!Q327,4))</f>
        <v/>
      </c>
      <c r="U330" s="38"/>
    </row>
    <row r="331" spans="1:21" ht="14.5" x14ac:dyDescent="0.35">
      <c r="A331" s="47" t="str">
        <f>IF('Salesforce Dump'!A328&lt;&gt;"",'Salesforce Dump'!A328,"")</f>
        <v/>
      </c>
      <c r="B331" s="48"/>
      <c r="C331" s="49" t="str">
        <f>IF('Salesforce Dump'!B328&lt;&gt;"",'Salesforce Dump'!B328,"")</f>
        <v/>
      </c>
      <c r="D331" s="48"/>
      <c r="E331" s="50" t="str">
        <f>IF('Salesforce Dump'!C328&lt;&gt;"",'Salesforce Dump'!C328,"")</f>
        <v/>
      </c>
      <c r="F331" s="49" t="str">
        <f>IF('Salesforce Dump'!D328&lt;&gt;"",'Salesforce Dump'!D328,"")</f>
        <v/>
      </c>
      <c r="G331" s="49" t="str">
        <f>IF('Salesforce Dump'!E328&lt;&gt;"",'Salesforce Dump'!E328,"")</f>
        <v/>
      </c>
      <c r="H331" s="49" t="str">
        <f>IF('Salesforce Dump'!G328&lt;&gt;"",'Salesforce Dump'!G328,"")</f>
        <v/>
      </c>
      <c r="I331" s="49" t="str">
        <f>IF('Salesforce Dump'!H328&lt;&gt;"",'Salesforce Dump'!H328,"")</f>
        <v/>
      </c>
      <c r="J331" s="51" t="str">
        <f>IF('Salesforce Dump'!I328&lt;&gt;"",'Salesforce Dump'!I328,"")</f>
        <v/>
      </c>
      <c r="K331" s="51" t="str">
        <f>IF('Salesforce Dump'!J328&lt;&gt;"",'Salesforce Dump'!J328,"")</f>
        <v/>
      </c>
      <c r="L331" s="52" t="str">
        <f>IFERROR(INDEX('OBA Dump'!C:C,MATCH($E331*1,'OBA Dump'!$A:$A,0)),"")</f>
        <v/>
      </c>
      <c r="M331" s="52" t="str">
        <f>IFERROR(INDEX('OBA Dump'!D:D,MATCH($E331*1,'OBA Dump'!$A:$A,0)),"")</f>
        <v/>
      </c>
      <c r="N331" s="52"/>
      <c r="O331" s="52"/>
      <c r="P331" s="53"/>
      <c r="Q331" s="52"/>
      <c r="R331" s="38" t="str">
        <f>_xlfn.IFNA(VLOOKUP(E331,'Pre-Booked Holidays'!A:B,2,0),"")</f>
        <v/>
      </c>
      <c r="S331" s="38" t="str">
        <f>IF(E331="","",IF(IFERROR(VLOOKUP(E331,'Onbase Report'!D:E,2,0),"")&lt;&gt;"","Details in Onbase","No Details"))</f>
        <v/>
      </c>
      <c r="T331" s="38" t="str">
        <f>IF(LEFT('Salesforce Dump'!Q328,5)="BHX10",LEFT('Salesforce Dump'!Q328,5),LEFT('Salesforce Dump'!Q328,4))</f>
        <v/>
      </c>
      <c r="U331" s="38"/>
    </row>
    <row r="332" spans="1:21" ht="14.5" x14ac:dyDescent="0.35">
      <c r="A332" s="47" t="str">
        <f>IF('Salesforce Dump'!A329&lt;&gt;"",'Salesforce Dump'!A329,"")</f>
        <v/>
      </c>
      <c r="B332" s="48"/>
      <c r="C332" s="49" t="str">
        <f>IF('Salesforce Dump'!B329&lt;&gt;"",'Salesforce Dump'!B329,"")</f>
        <v/>
      </c>
      <c r="D332" s="48"/>
      <c r="E332" s="50" t="str">
        <f>IF('Salesforce Dump'!C329&lt;&gt;"",'Salesforce Dump'!C329,"")</f>
        <v/>
      </c>
      <c r="F332" s="49" t="str">
        <f>IF('Salesforce Dump'!D329&lt;&gt;"",'Salesforce Dump'!D329,"")</f>
        <v/>
      </c>
      <c r="G332" s="49" t="str">
        <f>IF('Salesforce Dump'!E329&lt;&gt;"",'Salesforce Dump'!E329,"")</f>
        <v/>
      </c>
      <c r="H332" s="49" t="str">
        <f>IF('Salesforce Dump'!G329&lt;&gt;"",'Salesforce Dump'!G329,"")</f>
        <v/>
      </c>
      <c r="I332" s="49" t="str">
        <f>IF('Salesforce Dump'!H329&lt;&gt;"",'Salesforce Dump'!H329,"")</f>
        <v/>
      </c>
      <c r="J332" s="51" t="str">
        <f>IF('Salesforce Dump'!I329&lt;&gt;"",'Salesforce Dump'!I329,"")</f>
        <v/>
      </c>
      <c r="K332" s="51" t="str">
        <f>IF('Salesforce Dump'!J329&lt;&gt;"",'Salesforce Dump'!J329,"")</f>
        <v/>
      </c>
      <c r="L332" s="52" t="str">
        <f>IFERROR(INDEX('OBA Dump'!C:C,MATCH($E332*1,'OBA Dump'!$A:$A,0)),"")</f>
        <v/>
      </c>
      <c r="M332" s="52" t="str">
        <f>IFERROR(INDEX('OBA Dump'!D:D,MATCH($E332*1,'OBA Dump'!$A:$A,0)),"")</f>
        <v/>
      </c>
      <c r="N332" s="52"/>
      <c r="O332" s="52"/>
      <c r="P332" s="53"/>
      <c r="Q332" s="52"/>
      <c r="R332" s="38" t="str">
        <f>_xlfn.IFNA(VLOOKUP(E332,'Pre-Booked Holidays'!A:B,2,0),"")</f>
        <v/>
      </c>
      <c r="S332" s="38" t="str">
        <f>IF(E332="","",IF(IFERROR(VLOOKUP(E332,'Onbase Report'!D:E,2,0),"")&lt;&gt;"","Details in Onbase","No Details"))</f>
        <v/>
      </c>
      <c r="T332" s="38" t="str">
        <f>IF(LEFT('Salesforce Dump'!Q329,5)="BHX10",LEFT('Salesforce Dump'!Q329,5),LEFT('Salesforce Dump'!Q329,4))</f>
        <v/>
      </c>
      <c r="U332" s="38"/>
    </row>
    <row r="333" spans="1:21" ht="14.5" x14ac:dyDescent="0.35">
      <c r="A333" s="47" t="str">
        <f>IF('Salesforce Dump'!A330&lt;&gt;"",'Salesforce Dump'!A330,"")</f>
        <v/>
      </c>
      <c r="B333" s="48"/>
      <c r="C333" s="49" t="str">
        <f>IF('Salesforce Dump'!B330&lt;&gt;"",'Salesforce Dump'!B330,"")</f>
        <v/>
      </c>
      <c r="D333" s="48"/>
      <c r="E333" s="50" t="str">
        <f>IF('Salesforce Dump'!C330&lt;&gt;"",'Salesforce Dump'!C330,"")</f>
        <v/>
      </c>
      <c r="F333" s="49" t="str">
        <f>IF('Salesforce Dump'!D330&lt;&gt;"",'Salesforce Dump'!D330,"")</f>
        <v/>
      </c>
      <c r="G333" s="49" t="str">
        <f>IF('Salesforce Dump'!E330&lt;&gt;"",'Salesforce Dump'!E330,"")</f>
        <v/>
      </c>
      <c r="H333" s="49" t="str">
        <f>IF('Salesforce Dump'!G330&lt;&gt;"",'Salesforce Dump'!G330,"")</f>
        <v/>
      </c>
      <c r="I333" s="49" t="str">
        <f>IF('Salesforce Dump'!H330&lt;&gt;"",'Salesforce Dump'!H330,"")</f>
        <v/>
      </c>
      <c r="J333" s="51" t="str">
        <f>IF('Salesforce Dump'!I330&lt;&gt;"",'Salesforce Dump'!I330,"")</f>
        <v/>
      </c>
      <c r="K333" s="51" t="str">
        <f>IF('Salesforce Dump'!J330&lt;&gt;"",'Salesforce Dump'!J330,"")</f>
        <v/>
      </c>
      <c r="L333" s="52" t="str">
        <f>IFERROR(INDEX('OBA Dump'!C:C,MATCH($E333*1,'OBA Dump'!$A:$A,0)),"")</f>
        <v/>
      </c>
      <c r="M333" s="52" t="str">
        <f>IFERROR(INDEX('OBA Dump'!D:D,MATCH($E333*1,'OBA Dump'!$A:$A,0)),"")</f>
        <v/>
      </c>
      <c r="N333" s="52"/>
      <c r="O333" s="52"/>
      <c r="P333" s="53"/>
      <c r="Q333" s="52"/>
      <c r="R333" s="38" t="str">
        <f>_xlfn.IFNA(VLOOKUP(E333,'Pre-Booked Holidays'!A:B,2,0),"")</f>
        <v/>
      </c>
      <c r="S333" s="38" t="str">
        <f>IF(E333="","",IF(IFERROR(VLOOKUP(E333,'Onbase Report'!D:E,2,0),"")&lt;&gt;"","Details in Onbase","No Details"))</f>
        <v/>
      </c>
      <c r="T333" s="38" t="str">
        <f>IF(LEFT('Salesforce Dump'!Q330,5)="BHX10",LEFT('Salesforce Dump'!Q330,5),LEFT('Salesforce Dump'!Q330,4))</f>
        <v/>
      </c>
      <c r="U333" s="38"/>
    </row>
    <row r="334" spans="1:21" ht="14.5" x14ac:dyDescent="0.35">
      <c r="A334" s="47" t="str">
        <f>IF('Salesforce Dump'!A331&lt;&gt;"",'Salesforce Dump'!A331,"")</f>
        <v/>
      </c>
      <c r="B334" s="48"/>
      <c r="C334" s="49" t="str">
        <f>IF('Salesforce Dump'!B331&lt;&gt;"",'Salesforce Dump'!B331,"")</f>
        <v/>
      </c>
      <c r="D334" s="48"/>
      <c r="E334" s="50" t="str">
        <f>IF('Salesforce Dump'!C331&lt;&gt;"",'Salesforce Dump'!C331,"")</f>
        <v/>
      </c>
      <c r="F334" s="49" t="str">
        <f>IF('Salesforce Dump'!D331&lt;&gt;"",'Salesforce Dump'!D331,"")</f>
        <v/>
      </c>
      <c r="G334" s="49" t="str">
        <f>IF('Salesforce Dump'!E331&lt;&gt;"",'Salesforce Dump'!E331,"")</f>
        <v/>
      </c>
      <c r="H334" s="49" t="str">
        <f>IF('Salesforce Dump'!G331&lt;&gt;"",'Salesforce Dump'!G331,"")</f>
        <v/>
      </c>
      <c r="I334" s="49" t="str">
        <f>IF('Salesforce Dump'!H331&lt;&gt;"",'Salesforce Dump'!H331,"")</f>
        <v/>
      </c>
      <c r="J334" s="51" t="str">
        <f>IF('Salesforce Dump'!I331&lt;&gt;"",'Salesforce Dump'!I331,"")</f>
        <v/>
      </c>
      <c r="K334" s="51" t="str">
        <f>IF('Salesforce Dump'!J331&lt;&gt;"",'Salesforce Dump'!J331,"")</f>
        <v/>
      </c>
      <c r="L334" s="52" t="str">
        <f>IFERROR(INDEX('OBA Dump'!C:C,MATCH($E334*1,'OBA Dump'!$A:$A,0)),"")</f>
        <v/>
      </c>
      <c r="M334" s="52" t="str">
        <f>IFERROR(INDEX('OBA Dump'!D:D,MATCH($E334*1,'OBA Dump'!$A:$A,0)),"")</f>
        <v/>
      </c>
      <c r="N334" s="52"/>
      <c r="O334" s="52"/>
      <c r="P334" s="53"/>
      <c r="Q334" s="52"/>
      <c r="R334" s="38" t="str">
        <f>_xlfn.IFNA(VLOOKUP(E334,'Pre-Booked Holidays'!A:B,2,0),"")</f>
        <v/>
      </c>
      <c r="S334" s="38" t="str">
        <f>IF(E334="","",IF(IFERROR(VLOOKUP(E334,'Onbase Report'!D:E,2,0),"")&lt;&gt;"","Details in Onbase","No Details"))</f>
        <v/>
      </c>
      <c r="T334" s="38" t="str">
        <f>IF(LEFT('Salesforce Dump'!Q331,5)="BHX10",LEFT('Salesforce Dump'!Q331,5),LEFT('Salesforce Dump'!Q331,4))</f>
        <v/>
      </c>
      <c r="U334" s="38"/>
    </row>
    <row r="335" spans="1:21" ht="14.5" x14ac:dyDescent="0.35">
      <c r="A335" s="47" t="str">
        <f>IF('Salesforce Dump'!A332&lt;&gt;"",'Salesforce Dump'!A332,"")</f>
        <v/>
      </c>
      <c r="B335" s="48"/>
      <c r="C335" s="49" t="str">
        <f>IF('Salesforce Dump'!B332&lt;&gt;"",'Salesforce Dump'!B332,"")</f>
        <v/>
      </c>
      <c r="D335" s="48"/>
      <c r="E335" s="50" t="str">
        <f>IF('Salesforce Dump'!C332&lt;&gt;"",'Salesforce Dump'!C332,"")</f>
        <v/>
      </c>
      <c r="F335" s="49" t="str">
        <f>IF('Salesforce Dump'!D332&lt;&gt;"",'Salesforce Dump'!D332,"")</f>
        <v/>
      </c>
      <c r="G335" s="49" t="str">
        <f>IF('Salesforce Dump'!E332&lt;&gt;"",'Salesforce Dump'!E332,"")</f>
        <v/>
      </c>
      <c r="H335" s="49" t="str">
        <f>IF('Salesforce Dump'!G332&lt;&gt;"",'Salesforce Dump'!G332,"")</f>
        <v/>
      </c>
      <c r="I335" s="49" t="str">
        <f>IF('Salesforce Dump'!H332&lt;&gt;"",'Salesforce Dump'!H332,"")</f>
        <v/>
      </c>
      <c r="J335" s="51" t="str">
        <f>IF('Salesforce Dump'!I332&lt;&gt;"",'Salesforce Dump'!I332,"")</f>
        <v/>
      </c>
      <c r="K335" s="51" t="str">
        <f>IF('Salesforce Dump'!J332&lt;&gt;"",'Salesforce Dump'!J332,"")</f>
        <v/>
      </c>
      <c r="L335" s="52" t="str">
        <f>IFERROR(INDEX('OBA Dump'!C:C,MATCH($E335*1,'OBA Dump'!$A:$A,0)),"")</f>
        <v/>
      </c>
      <c r="M335" s="52" t="str">
        <f>IFERROR(INDEX('OBA Dump'!D:D,MATCH($E335*1,'OBA Dump'!$A:$A,0)),"")</f>
        <v/>
      </c>
      <c r="N335" s="52"/>
      <c r="O335" s="52"/>
      <c r="P335" s="53"/>
      <c r="Q335" s="52"/>
      <c r="R335" s="38" t="str">
        <f>_xlfn.IFNA(VLOOKUP(E335,'Pre-Booked Holidays'!A:B,2,0),"")</f>
        <v/>
      </c>
      <c r="S335" s="38" t="str">
        <f>IF(E335="","",IF(IFERROR(VLOOKUP(E335,'Onbase Report'!D:E,2,0),"")&lt;&gt;"","Details in Onbase","No Details"))</f>
        <v/>
      </c>
      <c r="T335" s="38" t="str">
        <f>IF(LEFT('Salesforce Dump'!Q332,5)="BHX10",LEFT('Salesforce Dump'!Q332,5),LEFT('Salesforce Dump'!Q332,4))</f>
        <v/>
      </c>
      <c r="U335" s="38"/>
    </row>
    <row r="336" spans="1:21" ht="14.5" x14ac:dyDescent="0.35">
      <c r="A336" s="47" t="str">
        <f>IF('Salesforce Dump'!A333&lt;&gt;"",'Salesforce Dump'!A333,"")</f>
        <v/>
      </c>
      <c r="B336" s="48"/>
      <c r="C336" s="49" t="str">
        <f>IF('Salesforce Dump'!B333&lt;&gt;"",'Salesforce Dump'!B333,"")</f>
        <v/>
      </c>
      <c r="D336" s="48"/>
      <c r="E336" s="50" t="str">
        <f>IF('Salesforce Dump'!C333&lt;&gt;"",'Salesforce Dump'!C333,"")</f>
        <v/>
      </c>
      <c r="F336" s="49" t="str">
        <f>IF('Salesforce Dump'!D333&lt;&gt;"",'Salesforce Dump'!D333,"")</f>
        <v/>
      </c>
      <c r="G336" s="49" t="str">
        <f>IF('Salesforce Dump'!E333&lt;&gt;"",'Salesforce Dump'!E333,"")</f>
        <v/>
      </c>
      <c r="H336" s="49" t="str">
        <f>IF('Salesforce Dump'!G333&lt;&gt;"",'Salesforce Dump'!G333,"")</f>
        <v/>
      </c>
      <c r="I336" s="49" t="str">
        <f>IF('Salesforce Dump'!H333&lt;&gt;"",'Salesforce Dump'!H333,"")</f>
        <v/>
      </c>
      <c r="J336" s="51" t="str">
        <f>IF('Salesforce Dump'!I333&lt;&gt;"",'Salesforce Dump'!I333,"")</f>
        <v/>
      </c>
      <c r="K336" s="51" t="str">
        <f>IF('Salesforce Dump'!J333&lt;&gt;"",'Salesforce Dump'!J333,"")</f>
        <v/>
      </c>
      <c r="L336" s="52" t="str">
        <f>IFERROR(INDEX('OBA Dump'!C:C,MATCH($E336*1,'OBA Dump'!$A:$A,0)),"")</f>
        <v/>
      </c>
      <c r="M336" s="52" t="str">
        <f>IFERROR(INDEX('OBA Dump'!D:D,MATCH($E336*1,'OBA Dump'!$A:$A,0)),"")</f>
        <v/>
      </c>
      <c r="N336" s="52"/>
      <c r="O336" s="52"/>
      <c r="P336" s="53"/>
      <c r="Q336" s="52"/>
      <c r="R336" s="38" t="str">
        <f>_xlfn.IFNA(VLOOKUP(E336,'Pre-Booked Holidays'!A:B,2,0),"")</f>
        <v/>
      </c>
      <c r="S336" s="38" t="str">
        <f>IF(E336="","",IF(IFERROR(VLOOKUP(E336,'Onbase Report'!D:E,2,0),"")&lt;&gt;"","Details in Onbase","No Details"))</f>
        <v/>
      </c>
      <c r="T336" s="38" t="str">
        <f>IF(LEFT('Salesforce Dump'!Q333,5)="BHX10",LEFT('Salesforce Dump'!Q333,5),LEFT('Salesforce Dump'!Q333,4))</f>
        <v/>
      </c>
      <c r="U336" s="38"/>
    </row>
    <row r="337" spans="1:21" ht="14.5" x14ac:dyDescent="0.35">
      <c r="A337" s="47" t="str">
        <f>IF('Salesforce Dump'!A334&lt;&gt;"",'Salesforce Dump'!A334,"")</f>
        <v/>
      </c>
      <c r="B337" s="48"/>
      <c r="C337" s="49" t="str">
        <f>IF('Salesforce Dump'!B334&lt;&gt;"",'Salesforce Dump'!B334,"")</f>
        <v/>
      </c>
      <c r="D337" s="48"/>
      <c r="E337" s="50" t="str">
        <f>IF('Salesforce Dump'!C334&lt;&gt;"",'Salesforce Dump'!C334,"")</f>
        <v/>
      </c>
      <c r="F337" s="49" t="str">
        <f>IF('Salesforce Dump'!D334&lt;&gt;"",'Salesforce Dump'!D334,"")</f>
        <v/>
      </c>
      <c r="G337" s="49" t="str">
        <f>IF('Salesforce Dump'!E334&lt;&gt;"",'Salesforce Dump'!E334,"")</f>
        <v/>
      </c>
      <c r="H337" s="49" t="str">
        <f>IF('Salesforce Dump'!G334&lt;&gt;"",'Salesforce Dump'!G334,"")</f>
        <v/>
      </c>
      <c r="I337" s="49" t="str">
        <f>IF('Salesforce Dump'!H334&lt;&gt;"",'Salesforce Dump'!H334,"")</f>
        <v/>
      </c>
      <c r="J337" s="51" t="str">
        <f>IF('Salesforce Dump'!I334&lt;&gt;"",'Salesforce Dump'!I334,"")</f>
        <v/>
      </c>
      <c r="K337" s="51" t="str">
        <f>IF('Salesforce Dump'!J334&lt;&gt;"",'Salesforce Dump'!J334,"")</f>
        <v/>
      </c>
      <c r="L337" s="52" t="str">
        <f>IFERROR(INDEX('OBA Dump'!C:C,MATCH($E337*1,'OBA Dump'!$A:$A,0)),"")</f>
        <v/>
      </c>
      <c r="M337" s="52" t="str">
        <f>IFERROR(INDEX('OBA Dump'!D:D,MATCH($E337*1,'OBA Dump'!$A:$A,0)),"")</f>
        <v/>
      </c>
      <c r="N337" s="52"/>
      <c r="O337" s="52"/>
      <c r="P337" s="53"/>
      <c r="Q337" s="52"/>
      <c r="R337" s="38" t="str">
        <f>_xlfn.IFNA(VLOOKUP(E337,'Pre-Booked Holidays'!A:B,2,0),"")</f>
        <v/>
      </c>
      <c r="S337" s="38" t="str">
        <f>IF(E337="","",IF(IFERROR(VLOOKUP(E337,'Onbase Report'!D:E,2,0),"")&lt;&gt;"","Details in Onbase","No Details"))</f>
        <v/>
      </c>
      <c r="T337" s="38" t="str">
        <f>IF(LEFT('Salesforce Dump'!Q334,5)="BHX10",LEFT('Salesforce Dump'!Q334,5),LEFT('Salesforce Dump'!Q334,4))</f>
        <v/>
      </c>
      <c r="U337" s="38"/>
    </row>
    <row r="338" spans="1:21" ht="14.5" x14ac:dyDescent="0.35">
      <c r="A338" s="47" t="str">
        <f>IF('Salesforce Dump'!A335&lt;&gt;"",'Salesforce Dump'!A335,"")</f>
        <v/>
      </c>
      <c r="B338" s="48"/>
      <c r="C338" s="49" t="str">
        <f>IF('Salesforce Dump'!B335&lt;&gt;"",'Salesforce Dump'!B335,"")</f>
        <v/>
      </c>
      <c r="D338" s="48"/>
      <c r="E338" s="50" t="str">
        <f>IF('Salesforce Dump'!C335&lt;&gt;"",'Salesforce Dump'!C335,"")</f>
        <v/>
      </c>
      <c r="F338" s="49" t="str">
        <f>IF('Salesforce Dump'!D335&lt;&gt;"",'Salesforce Dump'!D335,"")</f>
        <v/>
      </c>
      <c r="G338" s="49" t="str">
        <f>IF('Salesforce Dump'!E335&lt;&gt;"",'Salesforce Dump'!E335,"")</f>
        <v/>
      </c>
      <c r="H338" s="49" t="str">
        <f>IF('Salesforce Dump'!G335&lt;&gt;"",'Salesforce Dump'!G335,"")</f>
        <v/>
      </c>
      <c r="I338" s="49" t="str">
        <f>IF('Salesforce Dump'!H335&lt;&gt;"",'Salesforce Dump'!H335,"")</f>
        <v/>
      </c>
      <c r="J338" s="51" t="str">
        <f>IF('Salesforce Dump'!I335&lt;&gt;"",'Salesforce Dump'!I335,"")</f>
        <v/>
      </c>
      <c r="K338" s="51" t="str">
        <f>IF('Salesforce Dump'!J335&lt;&gt;"",'Salesforce Dump'!J335,"")</f>
        <v/>
      </c>
      <c r="L338" s="52" t="str">
        <f>IFERROR(INDEX('OBA Dump'!C:C,MATCH($E338*1,'OBA Dump'!$A:$A,0)),"")</f>
        <v/>
      </c>
      <c r="M338" s="52" t="str">
        <f>IFERROR(INDEX('OBA Dump'!D:D,MATCH($E338*1,'OBA Dump'!$A:$A,0)),"")</f>
        <v/>
      </c>
      <c r="N338" s="52"/>
      <c r="O338" s="52"/>
      <c r="P338" s="53"/>
      <c r="Q338" s="52"/>
      <c r="R338" s="38" t="str">
        <f>_xlfn.IFNA(VLOOKUP(E338,'Pre-Booked Holidays'!A:B,2,0),"")</f>
        <v/>
      </c>
      <c r="S338" s="38" t="str">
        <f>IF(E338="","",IF(IFERROR(VLOOKUP(E338,'Onbase Report'!D:E,2,0),"")&lt;&gt;"","Details in Onbase","No Details"))</f>
        <v/>
      </c>
      <c r="T338" s="38" t="str">
        <f>IF(LEFT('Salesforce Dump'!Q335,5)="BHX10",LEFT('Salesforce Dump'!Q335,5),LEFT('Salesforce Dump'!Q335,4))</f>
        <v/>
      </c>
      <c r="U338" s="38"/>
    </row>
    <row r="339" spans="1:21" ht="14.5" x14ac:dyDescent="0.35">
      <c r="A339" s="47" t="str">
        <f>IF('Salesforce Dump'!A336&lt;&gt;"",'Salesforce Dump'!A336,"")</f>
        <v/>
      </c>
      <c r="B339" s="48"/>
      <c r="C339" s="49" t="str">
        <f>IF('Salesforce Dump'!B336&lt;&gt;"",'Salesforce Dump'!B336,"")</f>
        <v/>
      </c>
      <c r="D339" s="48"/>
      <c r="E339" s="50" t="str">
        <f>IF('Salesforce Dump'!C336&lt;&gt;"",'Salesforce Dump'!C336,"")</f>
        <v/>
      </c>
      <c r="F339" s="49" t="str">
        <f>IF('Salesforce Dump'!D336&lt;&gt;"",'Salesforce Dump'!D336,"")</f>
        <v/>
      </c>
      <c r="G339" s="49" t="str">
        <f>IF('Salesforce Dump'!E336&lt;&gt;"",'Salesforce Dump'!E336,"")</f>
        <v/>
      </c>
      <c r="H339" s="49" t="str">
        <f>IF('Salesforce Dump'!G336&lt;&gt;"",'Salesforce Dump'!G336,"")</f>
        <v/>
      </c>
      <c r="I339" s="49" t="str">
        <f>IF('Salesforce Dump'!H336&lt;&gt;"",'Salesforce Dump'!H336,"")</f>
        <v/>
      </c>
      <c r="J339" s="51" t="str">
        <f>IF('Salesforce Dump'!I336&lt;&gt;"",'Salesforce Dump'!I336,"")</f>
        <v/>
      </c>
      <c r="K339" s="51" t="str">
        <f>IF('Salesforce Dump'!J336&lt;&gt;"",'Salesforce Dump'!J336,"")</f>
        <v/>
      </c>
      <c r="L339" s="52" t="str">
        <f>IFERROR(INDEX('OBA Dump'!C:C,MATCH($E339*1,'OBA Dump'!$A:$A,0)),"")</f>
        <v/>
      </c>
      <c r="M339" s="52" t="str">
        <f>IFERROR(INDEX('OBA Dump'!D:D,MATCH($E339*1,'OBA Dump'!$A:$A,0)),"")</f>
        <v/>
      </c>
      <c r="N339" s="52"/>
      <c r="O339" s="52"/>
      <c r="P339" s="53"/>
      <c r="Q339" s="52"/>
      <c r="R339" s="38" t="str">
        <f>_xlfn.IFNA(VLOOKUP(E339,'Pre-Booked Holidays'!A:B,2,0),"")</f>
        <v/>
      </c>
      <c r="S339" s="38" t="str">
        <f>IF(E339="","",IF(IFERROR(VLOOKUP(E339,'Onbase Report'!D:E,2,0),"")&lt;&gt;"","Details in Onbase","No Details"))</f>
        <v/>
      </c>
      <c r="T339" s="38" t="str">
        <f>IF(LEFT('Salesforce Dump'!Q336,5)="BHX10",LEFT('Salesforce Dump'!Q336,5),LEFT('Salesforce Dump'!Q336,4))</f>
        <v/>
      </c>
      <c r="U339" s="38"/>
    </row>
    <row r="340" spans="1:21" ht="14.5" x14ac:dyDescent="0.35">
      <c r="A340" s="47" t="str">
        <f>IF('Salesforce Dump'!A337&lt;&gt;"",'Salesforce Dump'!A337,"")</f>
        <v/>
      </c>
      <c r="B340" s="48"/>
      <c r="C340" s="49" t="str">
        <f>IF('Salesforce Dump'!B337&lt;&gt;"",'Salesforce Dump'!B337,"")</f>
        <v/>
      </c>
      <c r="D340" s="48"/>
      <c r="E340" s="50" t="str">
        <f>IF('Salesforce Dump'!C337&lt;&gt;"",'Salesforce Dump'!C337,"")</f>
        <v/>
      </c>
      <c r="F340" s="49" t="str">
        <f>IF('Salesforce Dump'!D337&lt;&gt;"",'Salesforce Dump'!D337,"")</f>
        <v/>
      </c>
      <c r="G340" s="49" t="str">
        <f>IF('Salesforce Dump'!E337&lt;&gt;"",'Salesforce Dump'!E337,"")</f>
        <v/>
      </c>
      <c r="H340" s="49" t="str">
        <f>IF('Salesforce Dump'!G337&lt;&gt;"",'Salesforce Dump'!G337,"")</f>
        <v/>
      </c>
      <c r="I340" s="49" t="str">
        <f>IF('Salesforce Dump'!H337&lt;&gt;"",'Salesforce Dump'!H337,"")</f>
        <v/>
      </c>
      <c r="J340" s="51" t="str">
        <f>IF('Salesforce Dump'!I337&lt;&gt;"",'Salesforce Dump'!I337,"")</f>
        <v/>
      </c>
      <c r="K340" s="51" t="str">
        <f>IF('Salesforce Dump'!J337&lt;&gt;"",'Salesforce Dump'!J337,"")</f>
        <v/>
      </c>
      <c r="L340" s="52" t="str">
        <f>IFERROR(INDEX('OBA Dump'!C:C,MATCH($E340*1,'OBA Dump'!$A:$A,0)),"")</f>
        <v/>
      </c>
      <c r="M340" s="52" t="str">
        <f>IFERROR(INDEX('OBA Dump'!D:D,MATCH($E340*1,'OBA Dump'!$A:$A,0)),"")</f>
        <v/>
      </c>
      <c r="N340" s="52"/>
      <c r="O340" s="52"/>
      <c r="P340" s="53"/>
      <c r="Q340" s="52"/>
      <c r="R340" s="38" t="str">
        <f>_xlfn.IFNA(VLOOKUP(E340,'Pre-Booked Holidays'!A:B,2,0),"")</f>
        <v/>
      </c>
      <c r="S340" s="38" t="str">
        <f>IF(E340="","",IF(IFERROR(VLOOKUP(E340,'Onbase Report'!D:E,2,0),"")&lt;&gt;"","Details in Onbase","No Details"))</f>
        <v/>
      </c>
      <c r="T340" s="38" t="str">
        <f>IF(LEFT('Salesforce Dump'!Q337,5)="BHX10",LEFT('Salesforce Dump'!Q337,5),LEFT('Salesforce Dump'!Q337,4))</f>
        <v/>
      </c>
      <c r="U340" s="38"/>
    </row>
    <row r="341" spans="1:21" ht="14.5" x14ac:dyDescent="0.35">
      <c r="A341" s="47" t="str">
        <f>IF('Salesforce Dump'!A338&lt;&gt;"",'Salesforce Dump'!A338,"")</f>
        <v/>
      </c>
      <c r="B341" s="48"/>
      <c r="C341" s="49" t="str">
        <f>IF('Salesforce Dump'!B338&lt;&gt;"",'Salesforce Dump'!B338,"")</f>
        <v/>
      </c>
      <c r="D341" s="48"/>
      <c r="E341" s="50" t="str">
        <f>IF('Salesforce Dump'!C338&lt;&gt;"",'Salesforce Dump'!C338,"")</f>
        <v/>
      </c>
      <c r="F341" s="49" t="str">
        <f>IF('Salesforce Dump'!D338&lt;&gt;"",'Salesforce Dump'!D338,"")</f>
        <v/>
      </c>
      <c r="G341" s="49" t="str">
        <f>IF('Salesforce Dump'!E338&lt;&gt;"",'Salesforce Dump'!E338,"")</f>
        <v/>
      </c>
      <c r="H341" s="49" t="str">
        <f>IF('Salesforce Dump'!G338&lt;&gt;"",'Salesforce Dump'!G338,"")</f>
        <v/>
      </c>
      <c r="I341" s="49" t="str">
        <f>IF('Salesforce Dump'!H338&lt;&gt;"",'Salesforce Dump'!H338,"")</f>
        <v/>
      </c>
      <c r="J341" s="51" t="str">
        <f>IF('Salesforce Dump'!I338&lt;&gt;"",'Salesforce Dump'!I338,"")</f>
        <v/>
      </c>
      <c r="K341" s="51" t="str">
        <f>IF('Salesforce Dump'!J338&lt;&gt;"",'Salesforce Dump'!J338,"")</f>
        <v/>
      </c>
      <c r="L341" s="52" t="str">
        <f>IFERROR(INDEX('OBA Dump'!C:C,MATCH($E341*1,'OBA Dump'!$A:$A,0)),"")</f>
        <v/>
      </c>
      <c r="M341" s="52" t="str">
        <f>IFERROR(INDEX('OBA Dump'!D:D,MATCH($E341*1,'OBA Dump'!$A:$A,0)),"")</f>
        <v/>
      </c>
      <c r="N341" s="52"/>
      <c r="O341" s="52"/>
      <c r="P341" s="53"/>
      <c r="Q341" s="52"/>
      <c r="R341" s="38" t="str">
        <f>_xlfn.IFNA(VLOOKUP(E341,'Pre-Booked Holidays'!A:B,2,0),"")</f>
        <v/>
      </c>
      <c r="S341" s="38" t="str">
        <f>IF(E341="","",IF(IFERROR(VLOOKUP(E341,'Onbase Report'!D:E,2,0),"")&lt;&gt;"","Details in Onbase","No Details"))</f>
        <v/>
      </c>
      <c r="T341" s="38" t="str">
        <f>IF(LEFT('Salesforce Dump'!Q338,5)="BHX10",LEFT('Salesforce Dump'!Q338,5),LEFT('Salesforce Dump'!Q338,4))</f>
        <v/>
      </c>
      <c r="U341" s="38"/>
    </row>
    <row r="342" spans="1:21" ht="14.5" x14ac:dyDescent="0.35">
      <c r="A342" s="47" t="str">
        <f>IF('Salesforce Dump'!A339&lt;&gt;"",'Salesforce Dump'!A339,"")</f>
        <v/>
      </c>
      <c r="B342" s="48"/>
      <c r="C342" s="49" t="str">
        <f>IF('Salesforce Dump'!B339&lt;&gt;"",'Salesforce Dump'!B339,"")</f>
        <v/>
      </c>
      <c r="D342" s="48"/>
      <c r="E342" s="50" t="str">
        <f>IF('Salesforce Dump'!C339&lt;&gt;"",'Salesforce Dump'!C339,"")</f>
        <v/>
      </c>
      <c r="F342" s="49" t="str">
        <f>IF('Salesforce Dump'!D339&lt;&gt;"",'Salesforce Dump'!D339,"")</f>
        <v/>
      </c>
      <c r="G342" s="49" t="str">
        <f>IF('Salesforce Dump'!E339&lt;&gt;"",'Salesforce Dump'!E339,"")</f>
        <v/>
      </c>
      <c r="H342" s="49" t="str">
        <f>IF('Salesforce Dump'!G339&lt;&gt;"",'Salesforce Dump'!G339,"")</f>
        <v/>
      </c>
      <c r="I342" s="49" t="str">
        <f>IF('Salesforce Dump'!H339&lt;&gt;"",'Salesforce Dump'!H339,"")</f>
        <v/>
      </c>
      <c r="J342" s="51" t="str">
        <f>IF('Salesforce Dump'!I339&lt;&gt;"",'Salesforce Dump'!I339,"")</f>
        <v/>
      </c>
      <c r="K342" s="51" t="str">
        <f>IF('Salesforce Dump'!J339&lt;&gt;"",'Salesforce Dump'!J339,"")</f>
        <v/>
      </c>
      <c r="L342" s="52" t="str">
        <f>IFERROR(INDEX('OBA Dump'!C:C,MATCH($E342*1,'OBA Dump'!$A:$A,0)),"")</f>
        <v/>
      </c>
      <c r="M342" s="52" t="str">
        <f>IFERROR(INDEX('OBA Dump'!D:D,MATCH($E342*1,'OBA Dump'!$A:$A,0)),"")</f>
        <v/>
      </c>
      <c r="N342" s="52"/>
      <c r="O342" s="52"/>
      <c r="P342" s="53"/>
      <c r="Q342" s="52"/>
      <c r="R342" s="38" t="str">
        <f>_xlfn.IFNA(VLOOKUP(E342,'Pre-Booked Holidays'!A:B,2,0),"")</f>
        <v/>
      </c>
      <c r="S342" s="38" t="str">
        <f>IF(E342="","",IF(IFERROR(VLOOKUP(E342,'Onbase Report'!D:E,2,0),"")&lt;&gt;"","Details in Onbase","No Details"))</f>
        <v/>
      </c>
      <c r="T342" s="38" t="str">
        <f>IF(LEFT('Salesforce Dump'!Q339,5)="BHX10",LEFT('Salesforce Dump'!Q339,5),LEFT('Salesforce Dump'!Q339,4))</f>
        <v/>
      </c>
      <c r="U342" s="38"/>
    </row>
    <row r="343" spans="1:21" ht="14.5" x14ac:dyDescent="0.35">
      <c r="A343" s="47" t="str">
        <f>IF('Salesforce Dump'!A340&lt;&gt;"",'Salesforce Dump'!A340,"")</f>
        <v/>
      </c>
      <c r="B343" s="48"/>
      <c r="C343" s="49" t="str">
        <f>IF('Salesforce Dump'!B340&lt;&gt;"",'Salesforce Dump'!B340,"")</f>
        <v/>
      </c>
      <c r="D343" s="48"/>
      <c r="E343" s="50" t="str">
        <f>IF('Salesforce Dump'!C340&lt;&gt;"",'Salesforce Dump'!C340,"")</f>
        <v/>
      </c>
      <c r="F343" s="49" t="str">
        <f>IF('Salesforce Dump'!D340&lt;&gt;"",'Salesforce Dump'!D340,"")</f>
        <v/>
      </c>
      <c r="G343" s="49" t="str">
        <f>IF('Salesforce Dump'!E340&lt;&gt;"",'Salesforce Dump'!E340,"")</f>
        <v/>
      </c>
      <c r="H343" s="49" t="str">
        <f>IF('Salesforce Dump'!G340&lt;&gt;"",'Salesforce Dump'!G340,"")</f>
        <v/>
      </c>
      <c r="I343" s="49" t="str">
        <f>IF('Salesforce Dump'!H340&lt;&gt;"",'Salesforce Dump'!H340,"")</f>
        <v/>
      </c>
      <c r="J343" s="51" t="str">
        <f>IF('Salesforce Dump'!I340&lt;&gt;"",'Salesforce Dump'!I340,"")</f>
        <v/>
      </c>
      <c r="K343" s="51" t="str">
        <f>IF('Salesforce Dump'!J340&lt;&gt;"",'Salesforce Dump'!J340,"")</f>
        <v/>
      </c>
      <c r="L343" s="52" t="str">
        <f>IFERROR(INDEX('OBA Dump'!C:C,MATCH($E343*1,'OBA Dump'!$A:$A,0)),"")</f>
        <v/>
      </c>
      <c r="M343" s="52" t="str">
        <f>IFERROR(INDEX('OBA Dump'!D:D,MATCH($E343*1,'OBA Dump'!$A:$A,0)),"")</f>
        <v/>
      </c>
      <c r="N343" s="52"/>
      <c r="O343" s="52"/>
      <c r="P343" s="53"/>
      <c r="Q343" s="52"/>
      <c r="R343" s="38" t="str">
        <f>_xlfn.IFNA(VLOOKUP(E343,'Pre-Booked Holidays'!A:B,2,0),"")</f>
        <v/>
      </c>
      <c r="S343" s="38" t="str">
        <f>IF(E343="","",IF(IFERROR(VLOOKUP(E343,'Onbase Report'!D:E,2,0),"")&lt;&gt;"","Details in Onbase","No Details"))</f>
        <v/>
      </c>
      <c r="T343" s="38" t="str">
        <f>IF(LEFT('Salesforce Dump'!Q340,5)="BHX10",LEFT('Salesforce Dump'!Q340,5),LEFT('Salesforce Dump'!Q340,4))</f>
        <v/>
      </c>
      <c r="U343" s="38"/>
    </row>
    <row r="344" spans="1:21" ht="14.5" x14ac:dyDescent="0.35">
      <c r="A344" s="47" t="str">
        <f>IF('Salesforce Dump'!A341&lt;&gt;"",'Salesforce Dump'!A341,"")</f>
        <v/>
      </c>
      <c r="B344" s="48"/>
      <c r="C344" s="49" t="str">
        <f>IF('Salesforce Dump'!B341&lt;&gt;"",'Salesforce Dump'!B341,"")</f>
        <v/>
      </c>
      <c r="D344" s="48"/>
      <c r="E344" s="50" t="str">
        <f>IF('Salesforce Dump'!C341&lt;&gt;"",'Salesforce Dump'!C341,"")</f>
        <v/>
      </c>
      <c r="F344" s="49" t="str">
        <f>IF('Salesforce Dump'!D341&lt;&gt;"",'Salesforce Dump'!D341,"")</f>
        <v/>
      </c>
      <c r="G344" s="49" t="str">
        <f>IF('Salesforce Dump'!E341&lt;&gt;"",'Salesforce Dump'!E341,"")</f>
        <v/>
      </c>
      <c r="H344" s="49" t="str">
        <f>IF('Salesforce Dump'!G341&lt;&gt;"",'Salesforce Dump'!G341,"")</f>
        <v/>
      </c>
      <c r="I344" s="49" t="str">
        <f>IF('Salesforce Dump'!H341&lt;&gt;"",'Salesforce Dump'!H341,"")</f>
        <v/>
      </c>
      <c r="J344" s="51" t="str">
        <f>IF('Salesforce Dump'!I341&lt;&gt;"",'Salesforce Dump'!I341,"")</f>
        <v/>
      </c>
      <c r="K344" s="51" t="str">
        <f>IF('Salesforce Dump'!J341&lt;&gt;"",'Salesforce Dump'!J341,"")</f>
        <v/>
      </c>
      <c r="L344" s="52" t="str">
        <f>IFERROR(INDEX('OBA Dump'!C:C,MATCH($E344*1,'OBA Dump'!$A:$A,0)),"")</f>
        <v/>
      </c>
      <c r="M344" s="52" t="str">
        <f>IFERROR(INDEX('OBA Dump'!D:D,MATCH($E344*1,'OBA Dump'!$A:$A,0)),"")</f>
        <v/>
      </c>
      <c r="N344" s="52"/>
      <c r="O344" s="52"/>
      <c r="P344" s="53"/>
      <c r="Q344" s="52"/>
      <c r="R344" s="38" t="str">
        <f>_xlfn.IFNA(VLOOKUP(E344,'Pre-Booked Holidays'!A:B,2,0),"")</f>
        <v/>
      </c>
      <c r="S344" s="38" t="str">
        <f>IF(E344="","",IF(IFERROR(VLOOKUP(E344,'Onbase Report'!D:E,2,0),"")&lt;&gt;"","Details in Onbase","No Details"))</f>
        <v/>
      </c>
      <c r="T344" s="38" t="str">
        <f>IF(LEFT('Salesforce Dump'!Q341,5)="BHX10",LEFT('Salesforce Dump'!Q341,5),LEFT('Salesforce Dump'!Q341,4))</f>
        <v/>
      </c>
      <c r="U344" s="38"/>
    </row>
    <row r="345" spans="1:21" ht="14.5" x14ac:dyDescent="0.35">
      <c r="A345" s="47" t="str">
        <f>IF('Salesforce Dump'!A342&lt;&gt;"",'Salesforce Dump'!A342,"")</f>
        <v/>
      </c>
      <c r="B345" s="48"/>
      <c r="C345" s="49" t="str">
        <f>IF('Salesforce Dump'!B342&lt;&gt;"",'Salesforce Dump'!B342,"")</f>
        <v/>
      </c>
      <c r="D345" s="48"/>
      <c r="E345" s="50" t="str">
        <f>IF('Salesforce Dump'!C342&lt;&gt;"",'Salesforce Dump'!C342,"")</f>
        <v/>
      </c>
      <c r="F345" s="49" t="str">
        <f>IF('Salesforce Dump'!D342&lt;&gt;"",'Salesforce Dump'!D342,"")</f>
        <v/>
      </c>
      <c r="G345" s="49" t="str">
        <f>IF('Salesforce Dump'!E342&lt;&gt;"",'Salesforce Dump'!E342,"")</f>
        <v/>
      </c>
      <c r="H345" s="49" t="str">
        <f>IF('Salesforce Dump'!G342&lt;&gt;"",'Salesforce Dump'!G342,"")</f>
        <v/>
      </c>
      <c r="I345" s="49" t="str">
        <f>IF('Salesforce Dump'!H342&lt;&gt;"",'Salesforce Dump'!H342,"")</f>
        <v/>
      </c>
      <c r="J345" s="51" t="str">
        <f>IF('Salesforce Dump'!I342&lt;&gt;"",'Salesforce Dump'!I342,"")</f>
        <v/>
      </c>
      <c r="K345" s="51" t="str">
        <f>IF('Salesforce Dump'!J342&lt;&gt;"",'Salesforce Dump'!J342,"")</f>
        <v/>
      </c>
      <c r="L345" s="52" t="str">
        <f>IFERROR(INDEX('OBA Dump'!C:C,MATCH($E345*1,'OBA Dump'!$A:$A,0)),"")</f>
        <v/>
      </c>
      <c r="M345" s="52" t="str">
        <f>IFERROR(INDEX('OBA Dump'!D:D,MATCH($E345*1,'OBA Dump'!$A:$A,0)),"")</f>
        <v/>
      </c>
      <c r="N345" s="52"/>
      <c r="O345" s="52"/>
      <c r="P345" s="53"/>
      <c r="Q345" s="52"/>
      <c r="R345" s="38" t="str">
        <f>_xlfn.IFNA(VLOOKUP(E345,'Pre-Booked Holidays'!A:B,2,0),"")</f>
        <v/>
      </c>
      <c r="S345" s="38" t="str">
        <f>IF(E345="","",IF(IFERROR(VLOOKUP(E345,'Onbase Report'!D:E,2,0),"")&lt;&gt;"","Details in Onbase","No Details"))</f>
        <v/>
      </c>
      <c r="T345" s="38" t="str">
        <f>IF(LEFT('Salesforce Dump'!Q342,5)="BHX10",LEFT('Salesforce Dump'!Q342,5),LEFT('Salesforce Dump'!Q342,4))</f>
        <v/>
      </c>
      <c r="U345" s="38"/>
    </row>
    <row r="346" spans="1:21" ht="14.5" x14ac:dyDescent="0.35">
      <c r="A346" s="47" t="str">
        <f>IF('Salesforce Dump'!A343&lt;&gt;"",'Salesforce Dump'!A343,"")</f>
        <v/>
      </c>
      <c r="B346" s="48"/>
      <c r="C346" s="49" t="str">
        <f>IF('Salesforce Dump'!B343&lt;&gt;"",'Salesforce Dump'!B343,"")</f>
        <v/>
      </c>
      <c r="D346" s="48"/>
      <c r="E346" s="50" t="str">
        <f>IF('Salesforce Dump'!C343&lt;&gt;"",'Salesforce Dump'!C343,"")</f>
        <v/>
      </c>
      <c r="F346" s="49" t="str">
        <f>IF('Salesforce Dump'!D343&lt;&gt;"",'Salesforce Dump'!D343,"")</f>
        <v/>
      </c>
      <c r="G346" s="49" t="str">
        <f>IF('Salesforce Dump'!E343&lt;&gt;"",'Salesforce Dump'!E343,"")</f>
        <v/>
      </c>
      <c r="H346" s="49" t="str">
        <f>IF('Salesforce Dump'!G343&lt;&gt;"",'Salesforce Dump'!G343,"")</f>
        <v/>
      </c>
      <c r="I346" s="49" t="str">
        <f>IF('Salesforce Dump'!H343&lt;&gt;"",'Salesforce Dump'!H343,"")</f>
        <v/>
      </c>
      <c r="J346" s="51" t="str">
        <f>IF('Salesforce Dump'!I343&lt;&gt;"",'Salesforce Dump'!I343,"")</f>
        <v/>
      </c>
      <c r="K346" s="51" t="str">
        <f>IF('Salesforce Dump'!J343&lt;&gt;"",'Salesforce Dump'!J343,"")</f>
        <v/>
      </c>
      <c r="L346" s="52" t="str">
        <f>IFERROR(INDEX('OBA Dump'!C:C,MATCH($E346*1,'OBA Dump'!$A:$A,0)),"")</f>
        <v/>
      </c>
      <c r="M346" s="52" t="str">
        <f>IFERROR(INDEX('OBA Dump'!D:D,MATCH($E346*1,'OBA Dump'!$A:$A,0)),"")</f>
        <v/>
      </c>
      <c r="N346" s="52"/>
      <c r="O346" s="52"/>
      <c r="P346" s="53"/>
      <c r="Q346" s="52"/>
      <c r="R346" s="38" t="str">
        <f>_xlfn.IFNA(VLOOKUP(E346,'Pre-Booked Holidays'!A:B,2,0),"")</f>
        <v/>
      </c>
      <c r="S346" s="38" t="str">
        <f>IF(E346="","",IF(IFERROR(VLOOKUP(E346,'Onbase Report'!D:E,2,0),"")&lt;&gt;"","Details in Onbase","No Details"))</f>
        <v/>
      </c>
      <c r="T346" s="38" t="str">
        <f>IF(LEFT('Salesforce Dump'!Q343,5)="BHX10",LEFT('Salesforce Dump'!Q343,5),LEFT('Salesforce Dump'!Q343,4))</f>
        <v/>
      </c>
      <c r="U346" s="38"/>
    </row>
    <row r="347" spans="1:21" ht="14.5" x14ac:dyDescent="0.35">
      <c r="A347" s="47" t="str">
        <f>IF('Salesforce Dump'!A344&lt;&gt;"",'Salesforce Dump'!A344,"")</f>
        <v/>
      </c>
      <c r="B347" s="48"/>
      <c r="C347" s="49" t="str">
        <f>IF('Salesforce Dump'!B344&lt;&gt;"",'Salesforce Dump'!B344,"")</f>
        <v/>
      </c>
      <c r="D347" s="48"/>
      <c r="E347" s="50" t="str">
        <f>IF('Salesforce Dump'!C344&lt;&gt;"",'Salesforce Dump'!C344,"")</f>
        <v/>
      </c>
      <c r="F347" s="49" t="str">
        <f>IF('Salesforce Dump'!D344&lt;&gt;"",'Salesforce Dump'!D344,"")</f>
        <v/>
      </c>
      <c r="G347" s="49" t="str">
        <f>IF('Salesforce Dump'!E344&lt;&gt;"",'Salesforce Dump'!E344,"")</f>
        <v/>
      </c>
      <c r="H347" s="49" t="str">
        <f>IF('Salesforce Dump'!G344&lt;&gt;"",'Salesforce Dump'!G344,"")</f>
        <v/>
      </c>
      <c r="I347" s="49" t="str">
        <f>IF('Salesforce Dump'!H344&lt;&gt;"",'Salesforce Dump'!H344,"")</f>
        <v/>
      </c>
      <c r="J347" s="51" t="str">
        <f>IF('Salesforce Dump'!I344&lt;&gt;"",'Salesforce Dump'!I344,"")</f>
        <v/>
      </c>
      <c r="K347" s="51" t="str">
        <f>IF('Salesforce Dump'!J344&lt;&gt;"",'Salesforce Dump'!J344,"")</f>
        <v/>
      </c>
      <c r="L347" s="52" t="str">
        <f>IFERROR(INDEX('OBA Dump'!C:C,MATCH($E347*1,'OBA Dump'!$A:$A,0)),"")</f>
        <v/>
      </c>
      <c r="M347" s="52" t="str">
        <f>IFERROR(INDEX('OBA Dump'!D:D,MATCH($E347*1,'OBA Dump'!$A:$A,0)),"")</f>
        <v/>
      </c>
      <c r="N347" s="52"/>
      <c r="O347" s="52"/>
      <c r="P347" s="53"/>
      <c r="Q347" s="52"/>
      <c r="R347" s="38" t="str">
        <f>_xlfn.IFNA(VLOOKUP(E347,'Pre-Booked Holidays'!A:B,2,0),"")</f>
        <v/>
      </c>
      <c r="S347" s="38" t="str">
        <f>IF(E347="","",IF(IFERROR(VLOOKUP(E347,'Onbase Report'!D:E,2,0),"")&lt;&gt;"","Details in Onbase","No Details"))</f>
        <v/>
      </c>
      <c r="T347" s="38" t="str">
        <f>IF(LEFT('Salesforce Dump'!Q344,5)="BHX10",LEFT('Salesforce Dump'!Q344,5),LEFT('Salesforce Dump'!Q344,4))</f>
        <v/>
      </c>
      <c r="U347" s="38"/>
    </row>
    <row r="348" spans="1:21" ht="14.5" x14ac:dyDescent="0.35">
      <c r="A348" s="47" t="str">
        <f>IF('Salesforce Dump'!A345&lt;&gt;"",'Salesforce Dump'!A345,"")</f>
        <v/>
      </c>
      <c r="B348" s="48"/>
      <c r="C348" s="49" t="str">
        <f>IF('Salesforce Dump'!B345&lt;&gt;"",'Salesforce Dump'!B345,"")</f>
        <v/>
      </c>
      <c r="D348" s="48"/>
      <c r="E348" s="50" t="str">
        <f>IF('Salesforce Dump'!C345&lt;&gt;"",'Salesforce Dump'!C345,"")</f>
        <v/>
      </c>
      <c r="F348" s="49" t="str">
        <f>IF('Salesforce Dump'!D345&lt;&gt;"",'Salesforce Dump'!D345,"")</f>
        <v/>
      </c>
      <c r="G348" s="49" t="str">
        <f>IF('Salesforce Dump'!E345&lt;&gt;"",'Salesforce Dump'!E345,"")</f>
        <v/>
      </c>
      <c r="H348" s="49" t="str">
        <f>IF('Salesforce Dump'!G345&lt;&gt;"",'Salesforce Dump'!G345,"")</f>
        <v/>
      </c>
      <c r="I348" s="49" t="str">
        <f>IF('Salesforce Dump'!H345&lt;&gt;"",'Salesforce Dump'!H345,"")</f>
        <v/>
      </c>
      <c r="J348" s="51" t="str">
        <f>IF('Salesforce Dump'!I345&lt;&gt;"",'Salesforce Dump'!I345,"")</f>
        <v/>
      </c>
      <c r="K348" s="51" t="str">
        <f>IF('Salesforce Dump'!J345&lt;&gt;"",'Salesforce Dump'!J345,"")</f>
        <v/>
      </c>
      <c r="L348" s="52" t="str">
        <f>IFERROR(INDEX('OBA Dump'!C:C,MATCH($E348*1,'OBA Dump'!$A:$A,0)),"")</f>
        <v/>
      </c>
      <c r="M348" s="52" t="str">
        <f>IFERROR(INDEX('OBA Dump'!D:D,MATCH($E348*1,'OBA Dump'!$A:$A,0)),"")</f>
        <v/>
      </c>
      <c r="N348" s="52"/>
      <c r="O348" s="52"/>
      <c r="P348" s="53"/>
      <c r="Q348" s="52"/>
      <c r="R348" s="38" t="str">
        <f>_xlfn.IFNA(VLOOKUP(E348,'Pre-Booked Holidays'!A:B,2,0),"")</f>
        <v/>
      </c>
      <c r="S348" s="38" t="str">
        <f>IF(E348="","",IF(IFERROR(VLOOKUP(E348,'Onbase Report'!D:E,2,0),"")&lt;&gt;"","Details in Onbase","No Details"))</f>
        <v/>
      </c>
      <c r="T348" s="38" t="str">
        <f>IF(LEFT('Salesforce Dump'!Q345,5)="BHX10",LEFT('Salesforce Dump'!Q345,5),LEFT('Salesforce Dump'!Q345,4))</f>
        <v/>
      </c>
      <c r="U348" s="38"/>
    </row>
    <row r="349" spans="1:21" ht="14.5" x14ac:dyDescent="0.35">
      <c r="A349" s="47" t="str">
        <f>IF('Salesforce Dump'!A346&lt;&gt;"",'Salesforce Dump'!A346,"")</f>
        <v/>
      </c>
      <c r="B349" s="48"/>
      <c r="C349" s="49" t="str">
        <f>IF('Salesforce Dump'!B346&lt;&gt;"",'Salesforce Dump'!B346,"")</f>
        <v/>
      </c>
      <c r="D349" s="48"/>
      <c r="E349" s="50" t="str">
        <f>IF('Salesforce Dump'!C346&lt;&gt;"",'Salesforce Dump'!C346,"")</f>
        <v/>
      </c>
      <c r="F349" s="49" t="str">
        <f>IF('Salesforce Dump'!D346&lt;&gt;"",'Salesforce Dump'!D346,"")</f>
        <v/>
      </c>
      <c r="G349" s="49" t="str">
        <f>IF('Salesforce Dump'!E346&lt;&gt;"",'Salesforce Dump'!E346,"")</f>
        <v/>
      </c>
      <c r="H349" s="49" t="str">
        <f>IF('Salesforce Dump'!G346&lt;&gt;"",'Salesforce Dump'!G346,"")</f>
        <v/>
      </c>
      <c r="I349" s="49" t="str">
        <f>IF('Salesforce Dump'!H346&lt;&gt;"",'Salesforce Dump'!H346,"")</f>
        <v/>
      </c>
      <c r="J349" s="51" t="str">
        <f>IF('Salesforce Dump'!I346&lt;&gt;"",'Salesforce Dump'!I346,"")</f>
        <v/>
      </c>
      <c r="K349" s="51" t="str">
        <f>IF('Salesforce Dump'!J346&lt;&gt;"",'Salesforce Dump'!J346,"")</f>
        <v/>
      </c>
      <c r="L349" s="52" t="str">
        <f>IFERROR(INDEX('OBA Dump'!C:C,MATCH($E349*1,'OBA Dump'!$A:$A,0)),"")</f>
        <v/>
      </c>
      <c r="M349" s="52" t="str">
        <f>IFERROR(INDEX('OBA Dump'!D:D,MATCH($E349*1,'OBA Dump'!$A:$A,0)),"")</f>
        <v/>
      </c>
      <c r="N349" s="52"/>
      <c r="O349" s="52"/>
      <c r="P349" s="53"/>
      <c r="Q349" s="52"/>
      <c r="R349" s="38" t="str">
        <f>_xlfn.IFNA(VLOOKUP(E349,'Pre-Booked Holidays'!A:B,2,0),"")</f>
        <v/>
      </c>
      <c r="S349" s="38" t="str">
        <f>IF(E349="","",IF(IFERROR(VLOOKUP(E349,'Onbase Report'!D:E,2,0),"")&lt;&gt;"","Details in Onbase","No Details"))</f>
        <v/>
      </c>
      <c r="T349" s="38" t="str">
        <f>IF(LEFT('Salesforce Dump'!Q346,5)="BHX10",LEFT('Salesforce Dump'!Q346,5),LEFT('Salesforce Dump'!Q346,4))</f>
        <v/>
      </c>
      <c r="U349" s="38"/>
    </row>
    <row r="350" spans="1:21" ht="14.5" x14ac:dyDescent="0.35">
      <c r="A350" s="47" t="str">
        <f>IF('Salesforce Dump'!A347&lt;&gt;"",'Salesforce Dump'!A347,"")</f>
        <v/>
      </c>
      <c r="B350" s="48"/>
      <c r="C350" s="49" t="str">
        <f>IF('Salesforce Dump'!B347&lt;&gt;"",'Salesforce Dump'!B347,"")</f>
        <v/>
      </c>
      <c r="D350" s="48"/>
      <c r="E350" s="50" t="str">
        <f>IF('Salesforce Dump'!C347&lt;&gt;"",'Salesforce Dump'!C347,"")</f>
        <v/>
      </c>
      <c r="F350" s="49" t="str">
        <f>IF('Salesforce Dump'!D347&lt;&gt;"",'Salesforce Dump'!D347,"")</f>
        <v/>
      </c>
      <c r="G350" s="49" t="str">
        <f>IF('Salesforce Dump'!E347&lt;&gt;"",'Salesforce Dump'!E347,"")</f>
        <v/>
      </c>
      <c r="H350" s="49" t="str">
        <f>IF('Salesforce Dump'!G347&lt;&gt;"",'Salesforce Dump'!G347,"")</f>
        <v/>
      </c>
      <c r="I350" s="49" t="str">
        <f>IF('Salesforce Dump'!H347&lt;&gt;"",'Salesforce Dump'!H347,"")</f>
        <v/>
      </c>
      <c r="J350" s="51" t="str">
        <f>IF('Salesforce Dump'!I347&lt;&gt;"",'Salesforce Dump'!I347,"")</f>
        <v/>
      </c>
      <c r="K350" s="51" t="str">
        <f>IF('Salesforce Dump'!J347&lt;&gt;"",'Salesforce Dump'!J347,"")</f>
        <v/>
      </c>
      <c r="L350" s="52" t="str">
        <f>IFERROR(INDEX('OBA Dump'!C:C,MATCH($E350*1,'OBA Dump'!$A:$A,0)),"")</f>
        <v/>
      </c>
      <c r="M350" s="52" t="str">
        <f>IFERROR(INDEX('OBA Dump'!D:D,MATCH($E350*1,'OBA Dump'!$A:$A,0)),"")</f>
        <v/>
      </c>
      <c r="N350" s="52"/>
      <c r="O350" s="52"/>
      <c r="P350" s="53"/>
      <c r="Q350" s="52"/>
      <c r="R350" s="38" t="str">
        <f>_xlfn.IFNA(VLOOKUP(E350,'Pre-Booked Holidays'!A:B,2,0),"")</f>
        <v/>
      </c>
      <c r="S350" s="38" t="str">
        <f>IF(E350="","",IF(IFERROR(VLOOKUP(E350,'Onbase Report'!D:E,2,0),"")&lt;&gt;"","Details in Onbase","No Details"))</f>
        <v/>
      </c>
      <c r="T350" s="38" t="str">
        <f>IF(LEFT('Salesforce Dump'!Q347,5)="BHX10",LEFT('Salesforce Dump'!Q347,5),LEFT('Salesforce Dump'!Q347,4))</f>
        <v/>
      </c>
      <c r="U350" s="38"/>
    </row>
    <row r="351" spans="1:21" ht="14.5" x14ac:dyDescent="0.35">
      <c r="A351" s="47" t="str">
        <f>IF('Salesforce Dump'!A348&lt;&gt;"",'Salesforce Dump'!A348,"")</f>
        <v/>
      </c>
      <c r="B351" s="48"/>
      <c r="C351" s="49" t="str">
        <f>IF('Salesforce Dump'!B348&lt;&gt;"",'Salesforce Dump'!B348,"")</f>
        <v/>
      </c>
      <c r="D351" s="48"/>
      <c r="E351" s="50" t="str">
        <f>IF('Salesforce Dump'!C348&lt;&gt;"",'Salesforce Dump'!C348,"")</f>
        <v/>
      </c>
      <c r="F351" s="49" t="str">
        <f>IF('Salesforce Dump'!D348&lt;&gt;"",'Salesforce Dump'!D348,"")</f>
        <v/>
      </c>
      <c r="G351" s="49" t="str">
        <f>IF('Salesforce Dump'!E348&lt;&gt;"",'Salesforce Dump'!E348,"")</f>
        <v/>
      </c>
      <c r="H351" s="49" t="str">
        <f>IF('Salesforce Dump'!G348&lt;&gt;"",'Salesforce Dump'!G348,"")</f>
        <v/>
      </c>
      <c r="I351" s="49" t="str">
        <f>IF('Salesforce Dump'!H348&lt;&gt;"",'Salesforce Dump'!H348,"")</f>
        <v/>
      </c>
      <c r="J351" s="51" t="str">
        <f>IF('Salesforce Dump'!I348&lt;&gt;"",'Salesforce Dump'!I348,"")</f>
        <v/>
      </c>
      <c r="K351" s="51" t="str">
        <f>IF('Salesforce Dump'!J348&lt;&gt;"",'Salesforce Dump'!J348,"")</f>
        <v/>
      </c>
      <c r="L351" s="52" t="str">
        <f>IFERROR(INDEX('OBA Dump'!C:C,MATCH($E351*1,'OBA Dump'!$A:$A,0)),"")</f>
        <v/>
      </c>
      <c r="M351" s="52" t="str">
        <f>IFERROR(INDEX('OBA Dump'!D:D,MATCH($E351*1,'OBA Dump'!$A:$A,0)),"")</f>
        <v/>
      </c>
      <c r="N351" s="52"/>
      <c r="O351" s="52"/>
      <c r="P351" s="53"/>
      <c r="Q351" s="52"/>
      <c r="R351" s="38" t="str">
        <f>_xlfn.IFNA(VLOOKUP(E351,'Pre-Booked Holidays'!A:B,2,0),"")</f>
        <v/>
      </c>
      <c r="S351" s="38" t="str">
        <f>IF(E351="","",IF(IFERROR(VLOOKUP(E351,'Onbase Report'!D:E,2,0),"")&lt;&gt;"","Details in Onbase","No Details"))</f>
        <v/>
      </c>
      <c r="T351" s="38" t="str">
        <f>IF(LEFT('Salesforce Dump'!Q348,5)="BHX10",LEFT('Salesforce Dump'!Q348,5),LEFT('Salesforce Dump'!Q348,4))</f>
        <v/>
      </c>
      <c r="U351" s="38"/>
    </row>
    <row r="352" spans="1:21" ht="14.5" x14ac:dyDescent="0.35">
      <c r="A352" s="47" t="str">
        <f>IF('Salesforce Dump'!A349&lt;&gt;"",'Salesforce Dump'!A349,"")</f>
        <v/>
      </c>
      <c r="B352" s="48"/>
      <c r="C352" s="49" t="str">
        <f>IF('Salesforce Dump'!B349&lt;&gt;"",'Salesforce Dump'!B349,"")</f>
        <v/>
      </c>
      <c r="D352" s="48"/>
      <c r="E352" s="50" t="str">
        <f>IF('Salesforce Dump'!C349&lt;&gt;"",'Salesforce Dump'!C349,"")</f>
        <v/>
      </c>
      <c r="F352" s="49" t="str">
        <f>IF('Salesforce Dump'!D349&lt;&gt;"",'Salesforce Dump'!D349,"")</f>
        <v/>
      </c>
      <c r="G352" s="49" t="str">
        <f>IF('Salesforce Dump'!E349&lt;&gt;"",'Salesforce Dump'!E349,"")</f>
        <v/>
      </c>
      <c r="H352" s="49" t="str">
        <f>IF('Salesforce Dump'!G349&lt;&gt;"",'Salesforce Dump'!G349,"")</f>
        <v/>
      </c>
      <c r="I352" s="49" t="str">
        <f>IF('Salesforce Dump'!H349&lt;&gt;"",'Salesforce Dump'!H349,"")</f>
        <v/>
      </c>
      <c r="J352" s="51" t="str">
        <f>IF('Salesforce Dump'!I349&lt;&gt;"",'Salesforce Dump'!I349,"")</f>
        <v/>
      </c>
      <c r="K352" s="51" t="str">
        <f>IF('Salesforce Dump'!J349&lt;&gt;"",'Salesforce Dump'!J349,"")</f>
        <v/>
      </c>
      <c r="L352" s="52" t="str">
        <f>IFERROR(INDEX('OBA Dump'!C:C,MATCH($E352*1,'OBA Dump'!$A:$A,0)),"")</f>
        <v/>
      </c>
      <c r="M352" s="52" t="str">
        <f>IFERROR(INDEX('OBA Dump'!D:D,MATCH($E352*1,'OBA Dump'!$A:$A,0)),"")</f>
        <v/>
      </c>
      <c r="N352" s="52"/>
      <c r="O352" s="52"/>
      <c r="P352" s="53"/>
      <c r="Q352" s="52"/>
      <c r="R352" s="38" t="str">
        <f>_xlfn.IFNA(VLOOKUP(E352,'Pre-Booked Holidays'!A:B,2,0),"")</f>
        <v/>
      </c>
      <c r="S352" s="38" t="str">
        <f>IF(E352="","",IF(IFERROR(VLOOKUP(E352,'Onbase Report'!D:E,2,0),"")&lt;&gt;"","Details in Onbase","No Details"))</f>
        <v/>
      </c>
      <c r="T352" s="38" t="str">
        <f>IF(LEFT('Salesforce Dump'!Q349,5)="BHX10",LEFT('Salesforce Dump'!Q349,5),LEFT('Salesforce Dump'!Q349,4))</f>
        <v/>
      </c>
      <c r="U352" s="38"/>
    </row>
    <row r="353" spans="1:21" ht="14.5" x14ac:dyDescent="0.35">
      <c r="A353" s="47" t="str">
        <f>IF('Salesforce Dump'!A350&lt;&gt;"",'Salesforce Dump'!A350,"")</f>
        <v/>
      </c>
      <c r="B353" s="48"/>
      <c r="C353" s="49" t="str">
        <f>IF('Salesforce Dump'!B350&lt;&gt;"",'Salesforce Dump'!B350,"")</f>
        <v/>
      </c>
      <c r="D353" s="48"/>
      <c r="E353" s="50" t="str">
        <f>IF('Salesforce Dump'!C350&lt;&gt;"",'Salesforce Dump'!C350,"")</f>
        <v/>
      </c>
      <c r="F353" s="49" t="str">
        <f>IF('Salesforce Dump'!D350&lt;&gt;"",'Salesforce Dump'!D350,"")</f>
        <v/>
      </c>
      <c r="G353" s="49" t="str">
        <f>IF('Salesforce Dump'!E350&lt;&gt;"",'Salesforce Dump'!E350,"")</f>
        <v/>
      </c>
      <c r="H353" s="49" t="str">
        <f>IF('Salesforce Dump'!G350&lt;&gt;"",'Salesforce Dump'!G350,"")</f>
        <v/>
      </c>
      <c r="I353" s="49" t="str">
        <f>IF('Salesforce Dump'!H350&lt;&gt;"",'Salesforce Dump'!H350,"")</f>
        <v/>
      </c>
      <c r="J353" s="51" t="str">
        <f>IF('Salesforce Dump'!I350&lt;&gt;"",'Salesforce Dump'!I350,"")</f>
        <v/>
      </c>
      <c r="K353" s="51" t="str">
        <f>IF('Salesforce Dump'!J350&lt;&gt;"",'Salesforce Dump'!J350,"")</f>
        <v/>
      </c>
      <c r="L353" s="52" t="str">
        <f>IFERROR(INDEX('OBA Dump'!C:C,MATCH($E353*1,'OBA Dump'!$A:$A,0)),"")</f>
        <v/>
      </c>
      <c r="M353" s="52" t="str">
        <f>IFERROR(INDEX('OBA Dump'!D:D,MATCH($E353*1,'OBA Dump'!$A:$A,0)),"")</f>
        <v/>
      </c>
      <c r="N353" s="52"/>
      <c r="O353" s="52"/>
      <c r="P353" s="53"/>
      <c r="Q353" s="52"/>
      <c r="R353" s="38" t="str">
        <f>_xlfn.IFNA(VLOOKUP(E353,'Pre-Booked Holidays'!A:B,2,0),"")</f>
        <v/>
      </c>
      <c r="S353" s="38" t="str">
        <f>IF(E353="","",IF(IFERROR(VLOOKUP(E353,'Onbase Report'!D:E,2,0),"")&lt;&gt;"","Details in Onbase","No Details"))</f>
        <v/>
      </c>
      <c r="T353" s="38" t="str">
        <f>IF(LEFT('Salesforce Dump'!Q350,5)="BHX10",LEFT('Salesforce Dump'!Q350,5),LEFT('Salesforce Dump'!Q350,4))</f>
        <v/>
      </c>
      <c r="U353" s="38"/>
    </row>
    <row r="354" spans="1:21" ht="14.5" x14ac:dyDescent="0.35">
      <c r="A354" s="47" t="str">
        <f>IF('Salesforce Dump'!A351&lt;&gt;"",'Salesforce Dump'!A351,"")</f>
        <v/>
      </c>
      <c r="B354" s="48"/>
      <c r="C354" s="49" t="str">
        <f>IF('Salesforce Dump'!B351&lt;&gt;"",'Salesforce Dump'!B351,"")</f>
        <v/>
      </c>
      <c r="D354" s="48"/>
      <c r="E354" s="50" t="str">
        <f>IF('Salesforce Dump'!C351&lt;&gt;"",'Salesforce Dump'!C351,"")</f>
        <v/>
      </c>
      <c r="F354" s="49" t="str">
        <f>IF('Salesforce Dump'!D351&lt;&gt;"",'Salesforce Dump'!D351,"")</f>
        <v/>
      </c>
      <c r="G354" s="49" t="str">
        <f>IF('Salesforce Dump'!E351&lt;&gt;"",'Salesforce Dump'!E351,"")</f>
        <v/>
      </c>
      <c r="H354" s="49" t="str">
        <f>IF('Salesforce Dump'!G351&lt;&gt;"",'Salesforce Dump'!G351,"")</f>
        <v/>
      </c>
      <c r="I354" s="49" t="str">
        <f>IF('Salesforce Dump'!H351&lt;&gt;"",'Salesforce Dump'!H351,"")</f>
        <v/>
      </c>
      <c r="J354" s="51" t="str">
        <f>IF('Salesforce Dump'!I351&lt;&gt;"",'Salesforce Dump'!I351,"")</f>
        <v/>
      </c>
      <c r="K354" s="51" t="str">
        <f>IF('Salesforce Dump'!J351&lt;&gt;"",'Salesforce Dump'!J351,"")</f>
        <v/>
      </c>
      <c r="L354" s="52" t="str">
        <f>IFERROR(INDEX('OBA Dump'!C:C,MATCH($E354*1,'OBA Dump'!$A:$A,0)),"")</f>
        <v/>
      </c>
      <c r="M354" s="52" t="str">
        <f>IFERROR(INDEX('OBA Dump'!D:D,MATCH($E354*1,'OBA Dump'!$A:$A,0)),"")</f>
        <v/>
      </c>
      <c r="N354" s="52"/>
      <c r="O354" s="52"/>
      <c r="P354" s="53"/>
      <c r="Q354" s="52"/>
      <c r="R354" s="38" t="str">
        <f>_xlfn.IFNA(VLOOKUP(E354,'Pre-Booked Holidays'!A:B,2,0),"")</f>
        <v/>
      </c>
      <c r="S354" s="38" t="str">
        <f>IF(E354="","",IF(IFERROR(VLOOKUP(E354,'Onbase Report'!D:E,2,0),"")&lt;&gt;"","Details in Onbase","No Details"))</f>
        <v/>
      </c>
      <c r="T354" s="38" t="str">
        <f>IF(LEFT('Salesforce Dump'!Q351,5)="BHX10",LEFT('Salesforce Dump'!Q351,5),LEFT('Salesforce Dump'!Q351,4))</f>
        <v/>
      </c>
      <c r="U354" s="38"/>
    </row>
    <row r="355" spans="1:21" ht="14.5" x14ac:dyDescent="0.35">
      <c r="A355" s="47" t="str">
        <f>IF('Salesforce Dump'!A352&lt;&gt;"",'Salesforce Dump'!A352,"")</f>
        <v/>
      </c>
      <c r="B355" s="48"/>
      <c r="C355" s="49" t="str">
        <f>IF('Salesforce Dump'!B352&lt;&gt;"",'Salesforce Dump'!B352,"")</f>
        <v/>
      </c>
      <c r="D355" s="48"/>
      <c r="E355" s="50" t="str">
        <f>IF('Salesforce Dump'!C352&lt;&gt;"",'Salesforce Dump'!C352,"")</f>
        <v/>
      </c>
      <c r="F355" s="49" t="str">
        <f>IF('Salesforce Dump'!D352&lt;&gt;"",'Salesforce Dump'!D352,"")</f>
        <v/>
      </c>
      <c r="G355" s="49" t="str">
        <f>IF('Salesforce Dump'!E352&lt;&gt;"",'Salesforce Dump'!E352,"")</f>
        <v/>
      </c>
      <c r="H355" s="49" t="str">
        <f>IF('Salesforce Dump'!G352&lt;&gt;"",'Salesforce Dump'!G352,"")</f>
        <v/>
      </c>
      <c r="I355" s="49" t="str">
        <f>IF('Salesforce Dump'!H352&lt;&gt;"",'Salesforce Dump'!H352,"")</f>
        <v/>
      </c>
      <c r="J355" s="51" t="str">
        <f>IF('Salesforce Dump'!I352&lt;&gt;"",'Salesforce Dump'!I352,"")</f>
        <v/>
      </c>
      <c r="K355" s="51" t="str">
        <f>IF('Salesforce Dump'!J352&lt;&gt;"",'Salesforce Dump'!J352,"")</f>
        <v/>
      </c>
      <c r="L355" s="52" t="str">
        <f>IFERROR(INDEX('OBA Dump'!C:C,MATCH($E355*1,'OBA Dump'!$A:$A,0)),"")</f>
        <v/>
      </c>
      <c r="M355" s="52" t="str">
        <f>IFERROR(INDEX('OBA Dump'!D:D,MATCH($E355*1,'OBA Dump'!$A:$A,0)),"")</f>
        <v/>
      </c>
      <c r="N355" s="52"/>
      <c r="O355" s="52"/>
      <c r="P355" s="53"/>
      <c r="Q355" s="52"/>
      <c r="R355" s="38" t="str">
        <f>_xlfn.IFNA(VLOOKUP(E355,'Pre-Booked Holidays'!A:B,2,0),"")</f>
        <v/>
      </c>
      <c r="S355" s="38" t="str">
        <f>IF(E355="","",IF(IFERROR(VLOOKUP(E355,'Onbase Report'!D:E,2,0),"")&lt;&gt;"","Details in Onbase","No Details"))</f>
        <v/>
      </c>
      <c r="T355" s="38" t="str">
        <f>IF(LEFT('Salesforce Dump'!Q352,5)="BHX10",LEFT('Salesforce Dump'!Q352,5),LEFT('Salesforce Dump'!Q352,4))</f>
        <v/>
      </c>
      <c r="U355" s="38"/>
    </row>
    <row r="356" spans="1:21" ht="14.5" x14ac:dyDescent="0.35">
      <c r="A356" s="47" t="str">
        <f>IF('Salesforce Dump'!A353&lt;&gt;"",'Salesforce Dump'!A353,"")</f>
        <v/>
      </c>
      <c r="B356" s="48"/>
      <c r="C356" s="49" t="str">
        <f>IF('Salesforce Dump'!B353&lt;&gt;"",'Salesforce Dump'!B353,"")</f>
        <v/>
      </c>
      <c r="D356" s="48"/>
      <c r="E356" s="50" t="str">
        <f>IF('Salesforce Dump'!C353&lt;&gt;"",'Salesforce Dump'!C353,"")</f>
        <v/>
      </c>
      <c r="F356" s="49" t="str">
        <f>IF('Salesforce Dump'!D353&lt;&gt;"",'Salesforce Dump'!D353,"")</f>
        <v/>
      </c>
      <c r="G356" s="49" t="str">
        <f>IF('Salesforce Dump'!E353&lt;&gt;"",'Salesforce Dump'!E353,"")</f>
        <v/>
      </c>
      <c r="H356" s="49" t="str">
        <f>IF('Salesforce Dump'!G353&lt;&gt;"",'Salesforce Dump'!G353,"")</f>
        <v/>
      </c>
      <c r="I356" s="49" t="str">
        <f>IF('Salesforce Dump'!H353&lt;&gt;"",'Salesforce Dump'!H353,"")</f>
        <v/>
      </c>
      <c r="J356" s="51" t="str">
        <f>IF('Salesforce Dump'!I353&lt;&gt;"",'Salesforce Dump'!I353,"")</f>
        <v/>
      </c>
      <c r="K356" s="51" t="str">
        <f>IF('Salesforce Dump'!J353&lt;&gt;"",'Salesforce Dump'!J353,"")</f>
        <v/>
      </c>
      <c r="L356" s="52" t="str">
        <f>IFERROR(INDEX('OBA Dump'!C:C,MATCH($E356*1,'OBA Dump'!$A:$A,0)),"")</f>
        <v/>
      </c>
      <c r="M356" s="52" t="str">
        <f>IFERROR(INDEX('OBA Dump'!D:D,MATCH($E356*1,'OBA Dump'!$A:$A,0)),"")</f>
        <v/>
      </c>
      <c r="N356" s="52"/>
      <c r="O356" s="52"/>
      <c r="P356" s="53"/>
      <c r="Q356" s="52"/>
      <c r="R356" s="38" t="str">
        <f>_xlfn.IFNA(VLOOKUP(E356,'Pre-Booked Holidays'!A:B,2,0),"")</f>
        <v/>
      </c>
      <c r="S356" s="38" t="str">
        <f>IF(E356="","",IF(IFERROR(VLOOKUP(E356,'Onbase Report'!D:E,2,0),"")&lt;&gt;"","Details in Onbase","No Details"))</f>
        <v/>
      </c>
      <c r="T356" s="38" t="str">
        <f>IF(LEFT('Salesforce Dump'!Q353,5)="BHX10",LEFT('Salesforce Dump'!Q353,5),LEFT('Salesforce Dump'!Q353,4))</f>
        <v/>
      </c>
      <c r="U356" s="38"/>
    </row>
    <row r="357" spans="1:21" ht="14.5" x14ac:dyDescent="0.35">
      <c r="A357" s="47" t="str">
        <f>IF('Salesforce Dump'!A354&lt;&gt;"",'Salesforce Dump'!A354,"")</f>
        <v/>
      </c>
      <c r="B357" s="48"/>
      <c r="C357" s="49" t="str">
        <f>IF('Salesforce Dump'!B354&lt;&gt;"",'Salesforce Dump'!B354,"")</f>
        <v/>
      </c>
      <c r="D357" s="48"/>
      <c r="E357" s="50" t="str">
        <f>IF('Salesforce Dump'!C354&lt;&gt;"",'Salesforce Dump'!C354,"")</f>
        <v/>
      </c>
      <c r="F357" s="49" t="str">
        <f>IF('Salesforce Dump'!D354&lt;&gt;"",'Salesforce Dump'!D354,"")</f>
        <v/>
      </c>
      <c r="G357" s="49" t="str">
        <f>IF('Salesforce Dump'!E354&lt;&gt;"",'Salesforce Dump'!E354,"")</f>
        <v/>
      </c>
      <c r="H357" s="49" t="str">
        <f>IF('Salesforce Dump'!G354&lt;&gt;"",'Salesforce Dump'!G354,"")</f>
        <v/>
      </c>
      <c r="I357" s="49" t="str">
        <f>IF('Salesforce Dump'!H354&lt;&gt;"",'Salesforce Dump'!H354,"")</f>
        <v/>
      </c>
      <c r="J357" s="51" t="str">
        <f>IF('Salesforce Dump'!I354&lt;&gt;"",'Salesforce Dump'!I354,"")</f>
        <v/>
      </c>
      <c r="K357" s="51" t="str">
        <f>IF('Salesforce Dump'!J354&lt;&gt;"",'Salesforce Dump'!J354,"")</f>
        <v/>
      </c>
      <c r="L357" s="52" t="str">
        <f>IFERROR(INDEX('OBA Dump'!C:C,MATCH($E357*1,'OBA Dump'!$A:$A,0)),"")</f>
        <v/>
      </c>
      <c r="M357" s="52" t="str">
        <f>IFERROR(INDEX('OBA Dump'!D:D,MATCH($E357*1,'OBA Dump'!$A:$A,0)),"")</f>
        <v/>
      </c>
      <c r="N357" s="52"/>
      <c r="O357" s="52"/>
      <c r="P357" s="53"/>
      <c r="Q357" s="52"/>
      <c r="R357" s="38" t="str">
        <f>_xlfn.IFNA(VLOOKUP(E357,'Pre-Booked Holidays'!A:B,2,0),"")</f>
        <v/>
      </c>
      <c r="S357" s="38" t="str">
        <f>IF(E357="","",IF(IFERROR(VLOOKUP(E357,'Onbase Report'!D:E,2,0),"")&lt;&gt;"","Details in Onbase","No Details"))</f>
        <v/>
      </c>
      <c r="T357" s="38" t="str">
        <f>IF(LEFT('Salesforce Dump'!Q354,5)="BHX10",LEFT('Salesforce Dump'!Q354,5),LEFT('Salesforce Dump'!Q354,4))</f>
        <v/>
      </c>
      <c r="U357" s="38"/>
    </row>
    <row r="358" spans="1:21" ht="14.5" x14ac:dyDescent="0.35">
      <c r="A358" s="47" t="str">
        <f>IF('Salesforce Dump'!A355&lt;&gt;"",'Salesforce Dump'!A355,"")</f>
        <v/>
      </c>
      <c r="B358" s="48"/>
      <c r="C358" s="49" t="str">
        <f>IF('Salesforce Dump'!B355&lt;&gt;"",'Salesforce Dump'!B355,"")</f>
        <v/>
      </c>
      <c r="D358" s="48"/>
      <c r="E358" s="50" t="str">
        <f>IF('Salesforce Dump'!C355&lt;&gt;"",'Salesforce Dump'!C355,"")</f>
        <v/>
      </c>
      <c r="F358" s="49" t="str">
        <f>IF('Salesforce Dump'!D355&lt;&gt;"",'Salesforce Dump'!D355,"")</f>
        <v/>
      </c>
      <c r="G358" s="49" t="str">
        <f>IF('Salesforce Dump'!E355&lt;&gt;"",'Salesforce Dump'!E355,"")</f>
        <v/>
      </c>
      <c r="H358" s="49" t="str">
        <f>IF('Salesforce Dump'!G355&lt;&gt;"",'Salesforce Dump'!G355,"")</f>
        <v/>
      </c>
      <c r="I358" s="49" t="str">
        <f>IF('Salesforce Dump'!H355&lt;&gt;"",'Salesforce Dump'!H355,"")</f>
        <v/>
      </c>
      <c r="J358" s="51" t="str">
        <f>IF('Salesforce Dump'!I355&lt;&gt;"",'Salesforce Dump'!I355,"")</f>
        <v/>
      </c>
      <c r="K358" s="51" t="str">
        <f>IF('Salesforce Dump'!J355&lt;&gt;"",'Salesforce Dump'!J355,"")</f>
        <v/>
      </c>
      <c r="L358" s="52" t="str">
        <f>IFERROR(INDEX('OBA Dump'!C:C,MATCH($E358*1,'OBA Dump'!$A:$A,0)),"")</f>
        <v/>
      </c>
      <c r="M358" s="52" t="str">
        <f>IFERROR(INDEX('OBA Dump'!D:D,MATCH($E358*1,'OBA Dump'!$A:$A,0)),"")</f>
        <v/>
      </c>
      <c r="N358" s="52"/>
      <c r="O358" s="52"/>
      <c r="P358" s="53"/>
      <c r="Q358" s="52"/>
      <c r="R358" s="38" t="str">
        <f>_xlfn.IFNA(VLOOKUP(E358,'Pre-Booked Holidays'!A:B,2,0),"")</f>
        <v/>
      </c>
      <c r="S358" s="38" t="str">
        <f>IF(E358="","",IF(IFERROR(VLOOKUP(E358,'Onbase Report'!D:E,2,0),"")&lt;&gt;"","Details in Onbase","No Details"))</f>
        <v/>
      </c>
      <c r="T358" s="38" t="str">
        <f>IF(LEFT('Salesforce Dump'!Q355,5)="BHX10",LEFT('Salesforce Dump'!Q355,5),LEFT('Salesforce Dump'!Q355,4))</f>
        <v/>
      </c>
      <c r="U358" s="38"/>
    </row>
    <row r="359" spans="1:21" ht="14.5" x14ac:dyDescent="0.35">
      <c r="A359" s="47" t="str">
        <f>IF('Salesforce Dump'!A356&lt;&gt;"",'Salesforce Dump'!A356,"")</f>
        <v/>
      </c>
      <c r="B359" s="48"/>
      <c r="C359" s="49" t="str">
        <f>IF('Salesforce Dump'!B356&lt;&gt;"",'Salesforce Dump'!B356,"")</f>
        <v/>
      </c>
      <c r="D359" s="48"/>
      <c r="E359" s="50" t="str">
        <f>IF('Salesforce Dump'!C356&lt;&gt;"",'Salesforce Dump'!C356,"")</f>
        <v/>
      </c>
      <c r="F359" s="49" t="str">
        <f>IF('Salesforce Dump'!D356&lt;&gt;"",'Salesforce Dump'!D356,"")</f>
        <v/>
      </c>
      <c r="G359" s="49" t="str">
        <f>IF('Salesforce Dump'!E356&lt;&gt;"",'Salesforce Dump'!E356,"")</f>
        <v/>
      </c>
      <c r="H359" s="49" t="str">
        <f>IF('Salesforce Dump'!G356&lt;&gt;"",'Salesforce Dump'!G356,"")</f>
        <v/>
      </c>
      <c r="I359" s="49" t="str">
        <f>IF('Salesforce Dump'!H356&lt;&gt;"",'Salesforce Dump'!H356,"")</f>
        <v/>
      </c>
      <c r="J359" s="51" t="str">
        <f>IF('Salesforce Dump'!I356&lt;&gt;"",'Salesforce Dump'!I356,"")</f>
        <v/>
      </c>
      <c r="K359" s="51" t="str">
        <f>IF('Salesforce Dump'!J356&lt;&gt;"",'Salesforce Dump'!J356,"")</f>
        <v/>
      </c>
      <c r="L359" s="52" t="str">
        <f>IFERROR(INDEX('OBA Dump'!C:C,MATCH($E359*1,'OBA Dump'!$A:$A,0)),"")</f>
        <v/>
      </c>
      <c r="M359" s="52" t="str">
        <f>IFERROR(INDEX('OBA Dump'!D:D,MATCH($E359*1,'OBA Dump'!$A:$A,0)),"")</f>
        <v/>
      </c>
      <c r="N359" s="52"/>
      <c r="O359" s="52"/>
      <c r="P359" s="53"/>
      <c r="Q359" s="52"/>
      <c r="R359" s="38" t="str">
        <f>_xlfn.IFNA(VLOOKUP(E359,'Pre-Booked Holidays'!A:B,2,0),"")</f>
        <v/>
      </c>
      <c r="S359" s="38" t="str">
        <f>IF(E359="","",IF(IFERROR(VLOOKUP(E359,'Onbase Report'!D:E,2,0),"")&lt;&gt;"","Details in Onbase","No Details"))</f>
        <v/>
      </c>
      <c r="T359" s="38" t="str">
        <f>IF(LEFT('Salesforce Dump'!Q356,5)="BHX10",LEFT('Salesforce Dump'!Q356,5),LEFT('Salesforce Dump'!Q356,4))</f>
        <v/>
      </c>
      <c r="U359" s="38"/>
    </row>
    <row r="360" spans="1:21" ht="14.5" x14ac:dyDescent="0.35">
      <c r="A360" s="47" t="str">
        <f>IF('Salesforce Dump'!A357&lt;&gt;"",'Salesforce Dump'!A357,"")</f>
        <v/>
      </c>
      <c r="B360" s="48"/>
      <c r="C360" s="49" t="str">
        <f>IF('Salesforce Dump'!B357&lt;&gt;"",'Salesforce Dump'!B357,"")</f>
        <v/>
      </c>
      <c r="D360" s="48"/>
      <c r="E360" s="50" t="str">
        <f>IF('Salesforce Dump'!C357&lt;&gt;"",'Salesforce Dump'!C357,"")</f>
        <v/>
      </c>
      <c r="F360" s="49" t="str">
        <f>IF('Salesforce Dump'!D357&lt;&gt;"",'Salesforce Dump'!D357,"")</f>
        <v/>
      </c>
      <c r="G360" s="49" t="str">
        <f>IF('Salesforce Dump'!E357&lt;&gt;"",'Salesforce Dump'!E357,"")</f>
        <v/>
      </c>
      <c r="H360" s="49" t="str">
        <f>IF('Salesforce Dump'!G357&lt;&gt;"",'Salesforce Dump'!G357,"")</f>
        <v/>
      </c>
      <c r="I360" s="49" t="str">
        <f>IF('Salesforce Dump'!H357&lt;&gt;"",'Salesforce Dump'!H357,"")</f>
        <v/>
      </c>
      <c r="J360" s="51" t="str">
        <f>IF('Salesforce Dump'!I357&lt;&gt;"",'Salesforce Dump'!I357,"")</f>
        <v/>
      </c>
      <c r="K360" s="51" t="str">
        <f>IF('Salesforce Dump'!J357&lt;&gt;"",'Salesforce Dump'!J357,"")</f>
        <v/>
      </c>
      <c r="L360" s="52" t="str">
        <f>IFERROR(INDEX('OBA Dump'!C:C,MATCH($E360*1,'OBA Dump'!$A:$A,0)),"")</f>
        <v/>
      </c>
      <c r="M360" s="52" t="str">
        <f>IFERROR(INDEX('OBA Dump'!D:D,MATCH($E360*1,'OBA Dump'!$A:$A,0)),"")</f>
        <v/>
      </c>
      <c r="N360" s="52"/>
      <c r="O360" s="52"/>
      <c r="P360" s="53"/>
      <c r="Q360" s="52"/>
      <c r="R360" s="38" t="str">
        <f>_xlfn.IFNA(VLOOKUP(E360,'Pre-Booked Holidays'!A:B,2,0),"")</f>
        <v/>
      </c>
      <c r="S360" s="38" t="str">
        <f>IF(E360="","",IF(IFERROR(VLOOKUP(E360,'Onbase Report'!D:E,2,0),"")&lt;&gt;"","Details in Onbase","No Details"))</f>
        <v/>
      </c>
      <c r="T360" s="38" t="str">
        <f>IF(LEFT('Salesforce Dump'!Q357,5)="BHX10",LEFT('Salesforce Dump'!Q357,5),LEFT('Salesforce Dump'!Q357,4))</f>
        <v/>
      </c>
      <c r="U360" s="38"/>
    </row>
    <row r="361" spans="1:21" ht="14.5" x14ac:dyDescent="0.35">
      <c r="A361" s="47" t="str">
        <f>IF('Salesforce Dump'!A358&lt;&gt;"",'Salesforce Dump'!A358,"")</f>
        <v/>
      </c>
      <c r="B361" s="48"/>
      <c r="C361" s="49" t="str">
        <f>IF('Salesforce Dump'!B358&lt;&gt;"",'Salesforce Dump'!B358,"")</f>
        <v/>
      </c>
      <c r="D361" s="48"/>
      <c r="E361" s="50" t="str">
        <f>IF('Salesforce Dump'!C358&lt;&gt;"",'Salesforce Dump'!C358,"")</f>
        <v/>
      </c>
      <c r="F361" s="49" t="str">
        <f>IF('Salesforce Dump'!D358&lt;&gt;"",'Salesforce Dump'!D358,"")</f>
        <v/>
      </c>
      <c r="G361" s="49" t="str">
        <f>IF('Salesforce Dump'!E358&lt;&gt;"",'Salesforce Dump'!E358,"")</f>
        <v/>
      </c>
      <c r="H361" s="49" t="str">
        <f>IF('Salesforce Dump'!G358&lt;&gt;"",'Salesforce Dump'!G358,"")</f>
        <v/>
      </c>
      <c r="I361" s="49" t="str">
        <f>IF('Salesforce Dump'!H358&lt;&gt;"",'Salesforce Dump'!H358,"")</f>
        <v/>
      </c>
      <c r="J361" s="51" t="str">
        <f>IF('Salesforce Dump'!I358&lt;&gt;"",'Salesforce Dump'!I358,"")</f>
        <v/>
      </c>
      <c r="K361" s="51" t="str">
        <f>IF('Salesforce Dump'!J358&lt;&gt;"",'Salesforce Dump'!J358,"")</f>
        <v/>
      </c>
      <c r="L361" s="52" t="str">
        <f>IFERROR(INDEX('OBA Dump'!C:C,MATCH($E361*1,'OBA Dump'!$A:$A,0)),"")</f>
        <v/>
      </c>
      <c r="M361" s="52" t="str">
        <f>IFERROR(INDEX('OBA Dump'!D:D,MATCH($E361*1,'OBA Dump'!$A:$A,0)),"")</f>
        <v/>
      </c>
      <c r="N361" s="52"/>
      <c r="O361" s="52"/>
      <c r="P361" s="53"/>
      <c r="Q361" s="52"/>
      <c r="R361" s="38" t="str">
        <f>_xlfn.IFNA(VLOOKUP(E361,'Pre-Booked Holidays'!A:B,2,0),"")</f>
        <v/>
      </c>
      <c r="S361" s="38" t="str">
        <f>IF(E361="","",IF(IFERROR(VLOOKUP(E361,'Onbase Report'!D:E,2,0),"")&lt;&gt;"","Details in Onbase","No Details"))</f>
        <v/>
      </c>
      <c r="T361" s="38" t="str">
        <f>IF(LEFT('Salesforce Dump'!Q358,5)="BHX10",LEFT('Salesforce Dump'!Q358,5),LEFT('Salesforce Dump'!Q358,4))</f>
        <v/>
      </c>
      <c r="U361" s="38"/>
    </row>
    <row r="362" spans="1:21" ht="14.5" x14ac:dyDescent="0.35">
      <c r="A362" s="47" t="str">
        <f>IF('Salesforce Dump'!A359&lt;&gt;"",'Salesforce Dump'!A359,"")</f>
        <v/>
      </c>
      <c r="B362" s="48"/>
      <c r="C362" s="49" t="str">
        <f>IF('Salesforce Dump'!B359&lt;&gt;"",'Salesforce Dump'!B359,"")</f>
        <v/>
      </c>
      <c r="D362" s="48"/>
      <c r="E362" s="50" t="str">
        <f>IF('Salesforce Dump'!C359&lt;&gt;"",'Salesforce Dump'!C359,"")</f>
        <v/>
      </c>
      <c r="F362" s="49" t="str">
        <f>IF('Salesforce Dump'!D359&lt;&gt;"",'Salesforce Dump'!D359,"")</f>
        <v/>
      </c>
      <c r="G362" s="49" t="str">
        <f>IF('Salesforce Dump'!E359&lt;&gt;"",'Salesforce Dump'!E359,"")</f>
        <v/>
      </c>
      <c r="H362" s="49" t="str">
        <f>IF('Salesforce Dump'!G359&lt;&gt;"",'Salesforce Dump'!G359,"")</f>
        <v/>
      </c>
      <c r="I362" s="49" t="str">
        <f>IF('Salesforce Dump'!H359&lt;&gt;"",'Salesforce Dump'!H359,"")</f>
        <v/>
      </c>
      <c r="J362" s="51" t="str">
        <f>IF('Salesforce Dump'!I359&lt;&gt;"",'Salesforce Dump'!I359,"")</f>
        <v/>
      </c>
      <c r="K362" s="51" t="str">
        <f>IF('Salesforce Dump'!J359&lt;&gt;"",'Salesforce Dump'!J359,"")</f>
        <v/>
      </c>
      <c r="L362" s="52" t="str">
        <f>IFERROR(INDEX('OBA Dump'!C:C,MATCH($E362*1,'OBA Dump'!$A:$A,0)),"")</f>
        <v/>
      </c>
      <c r="M362" s="52" t="str">
        <f>IFERROR(INDEX('OBA Dump'!D:D,MATCH($E362*1,'OBA Dump'!$A:$A,0)),"")</f>
        <v/>
      </c>
      <c r="N362" s="52"/>
      <c r="O362" s="52"/>
      <c r="P362" s="53"/>
      <c r="Q362" s="52"/>
      <c r="R362" s="38" t="str">
        <f>_xlfn.IFNA(VLOOKUP(E362,'Pre-Booked Holidays'!A:B,2,0),"")</f>
        <v/>
      </c>
      <c r="S362" s="38" t="str">
        <f>IF(E362="","",IF(IFERROR(VLOOKUP(E362,'Onbase Report'!D:E,2,0),"")&lt;&gt;"","Details in Onbase","No Details"))</f>
        <v/>
      </c>
      <c r="T362" s="38" t="str">
        <f>IF(LEFT('Salesforce Dump'!Q359,5)="BHX10",LEFT('Salesforce Dump'!Q359,5),LEFT('Salesforce Dump'!Q359,4))</f>
        <v/>
      </c>
      <c r="U362" s="38"/>
    </row>
    <row r="363" spans="1:21" ht="14.5" x14ac:dyDescent="0.35">
      <c r="A363" s="47" t="str">
        <f>IF('Salesforce Dump'!A360&lt;&gt;"",'Salesforce Dump'!A360,"")</f>
        <v/>
      </c>
      <c r="B363" s="48"/>
      <c r="C363" s="49" t="str">
        <f>IF('Salesforce Dump'!B360&lt;&gt;"",'Salesforce Dump'!B360,"")</f>
        <v/>
      </c>
      <c r="D363" s="48"/>
      <c r="E363" s="50" t="str">
        <f>IF('Salesforce Dump'!C360&lt;&gt;"",'Salesforce Dump'!C360,"")</f>
        <v/>
      </c>
      <c r="F363" s="49" t="str">
        <f>IF('Salesforce Dump'!D360&lt;&gt;"",'Salesforce Dump'!D360,"")</f>
        <v/>
      </c>
      <c r="G363" s="49" t="str">
        <f>IF('Salesforce Dump'!E360&lt;&gt;"",'Salesforce Dump'!E360,"")</f>
        <v/>
      </c>
      <c r="H363" s="49" t="str">
        <f>IF('Salesforce Dump'!G360&lt;&gt;"",'Salesforce Dump'!G360,"")</f>
        <v/>
      </c>
      <c r="I363" s="49" t="str">
        <f>IF('Salesforce Dump'!H360&lt;&gt;"",'Salesforce Dump'!H360,"")</f>
        <v/>
      </c>
      <c r="J363" s="51" t="str">
        <f>IF('Salesforce Dump'!I360&lt;&gt;"",'Salesforce Dump'!I360,"")</f>
        <v/>
      </c>
      <c r="K363" s="51" t="str">
        <f>IF('Salesforce Dump'!J360&lt;&gt;"",'Salesforce Dump'!J360,"")</f>
        <v/>
      </c>
      <c r="L363" s="52" t="str">
        <f>IFERROR(INDEX('OBA Dump'!C:C,MATCH($E363*1,'OBA Dump'!$A:$A,0)),"")</f>
        <v/>
      </c>
      <c r="M363" s="52" t="str">
        <f>IFERROR(INDEX('OBA Dump'!D:D,MATCH($E363*1,'OBA Dump'!$A:$A,0)),"")</f>
        <v/>
      </c>
      <c r="N363" s="52"/>
      <c r="O363" s="52"/>
      <c r="P363" s="53"/>
      <c r="Q363" s="52"/>
      <c r="R363" s="38" t="str">
        <f>_xlfn.IFNA(VLOOKUP(E363,'Pre-Booked Holidays'!A:B,2,0),"")</f>
        <v/>
      </c>
      <c r="S363" s="38" t="str">
        <f>IF(E363="","",IF(IFERROR(VLOOKUP(E363,'Onbase Report'!D:E,2,0),"")&lt;&gt;"","Details in Onbase","No Details"))</f>
        <v/>
      </c>
      <c r="T363" s="38" t="str">
        <f>IF(LEFT('Salesforce Dump'!Q360,5)="BHX10",LEFT('Salesforce Dump'!Q360,5),LEFT('Salesforce Dump'!Q360,4))</f>
        <v/>
      </c>
      <c r="U363" s="38"/>
    </row>
    <row r="364" spans="1:21" ht="14.5" x14ac:dyDescent="0.35">
      <c r="A364" s="47" t="str">
        <f>IF('Salesforce Dump'!A361&lt;&gt;"",'Salesforce Dump'!A361,"")</f>
        <v/>
      </c>
      <c r="B364" s="48"/>
      <c r="C364" s="49" t="str">
        <f>IF('Salesforce Dump'!B361&lt;&gt;"",'Salesforce Dump'!B361,"")</f>
        <v/>
      </c>
      <c r="D364" s="48"/>
      <c r="E364" s="50" t="str">
        <f>IF('Salesforce Dump'!C361&lt;&gt;"",'Salesforce Dump'!C361,"")</f>
        <v/>
      </c>
      <c r="F364" s="49" t="str">
        <f>IF('Salesforce Dump'!D361&lt;&gt;"",'Salesforce Dump'!D361,"")</f>
        <v/>
      </c>
      <c r="G364" s="49" t="str">
        <f>IF('Salesforce Dump'!E361&lt;&gt;"",'Salesforce Dump'!E361,"")</f>
        <v/>
      </c>
      <c r="H364" s="49" t="str">
        <f>IF('Salesforce Dump'!G361&lt;&gt;"",'Salesforce Dump'!G361,"")</f>
        <v/>
      </c>
      <c r="I364" s="49" t="str">
        <f>IF('Salesforce Dump'!H361&lt;&gt;"",'Salesforce Dump'!H361,"")</f>
        <v/>
      </c>
      <c r="J364" s="51" t="str">
        <f>IF('Salesforce Dump'!I361&lt;&gt;"",'Salesforce Dump'!I361,"")</f>
        <v/>
      </c>
      <c r="K364" s="51" t="str">
        <f>IF('Salesforce Dump'!J361&lt;&gt;"",'Salesforce Dump'!J361,"")</f>
        <v/>
      </c>
      <c r="L364" s="52" t="str">
        <f>IFERROR(INDEX('OBA Dump'!C:C,MATCH($E364*1,'OBA Dump'!$A:$A,0)),"")</f>
        <v/>
      </c>
      <c r="M364" s="52" t="str">
        <f>IFERROR(INDEX('OBA Dump'!D:D,MATCH($E364*1,'OBA Dump'!$A:$A,0)),"")</f>
        <v/>
      </c>
      <c r="N364" s="52"/>
      <c r="O364" s="52"/>
      <c r="P364" s="53"/>
      <c r="Q364" s="52"/>
      <c r="R364" s="38" t="str">
        <f>_xlfn.IFNA(VLOOKUP(E364,'Pre-Booked Holidays'!A:B,2,0),"")</f>
        <v/>
      </c>
      <c r="S364" s="38" t="str">
        <f>IF(E364="","",IF(IFERROR(VLOOKUP(E364,'Onbase Report'!D:E,2,0),"")&lt;&gt;"","Details in Onbase","No Details"))</f>
        <v/>
      </c>
      <c r="T364" s="38" t="str">
        <f>IF(LEFT('Salesforce Dump'!Q361,5)="BHX10",LEFT('Salesforce Dump'!Q361,5),LEFT('Salesforce Dump'!Q361,4))</f>
        <v/>
      </c>
      <c r="U364" s="38"/>
    </row>
    <row r="365" spans="1:21" ht="14.5" x14ac:dyDescent="0.35">
      <c r="A365" s="47" t="str">
        <f>IF('Salesforce Dump'!A362&lt;&gt;"",'Salesforce Dump'!A362,"")</f>
        <v/>
      </c>
      <c r="B365" s="48"/>
      <c r="C365" s="49" t="str">
        <f>IF('Salesforce Dump'!B362&lt;&gt;"",'Salesforce Dump'!B362,"")</f>
        <v/>
      </c>
      <c r="D365" s="48"/>
      <c r="E365" s="50" t="str">
        <f>IF('Salesforce Dump'!C362&lt;&gt;"",'Salesforce Dump'!C362,"")</f>
        <v/>
      </c>
      <c r="F365" s="49" t="str">
        <f>IF('Salesforce Dump'!D362&lt;&gt;"",'Salesforce Dump'!D362,"")</f>
        <v/>
      </c>
      <c r="G365" s="49" t="str">
        <f>IF('Salesforce Dump'!E362&lt;&gt;"",'Salesforce Dump'!E362,"")</f>
        <v/>
      </c>
      <c r="H365" s="49" t="str">
        <f>IF('Salesforce Dump'!G362&lt;&gt;"",'Salesforce Dump'!G362,"")</f>
        <v/>
      </c>
      <c r="I365" s="49" t="str">
        <f>IF('Salesforce Dump'!H362&lt;&gt;"",'Salesforce Dump'!H362,"")</f>
        <v/>
      </c>
      <c r="J365" s="51" t="str">
        <f>IF('Salesforce Dump'!I362&lt;&gt;"",'Salesforce Dump'!I362,"")</f>
        <v/>
      </c>
      <c r="K365" s="51" t="str">
        <f>IF('Salesforce Dump'!J362&lt;&gt;"",'Salesforce Dump'!J362,"")</f>
        <v/>
      </c>
      <c r="L365" s="52" t="str">
        <f>IFERROR(INDEX('OBA Dump'!C:C,MATCH($E365*1,'OBA Dump'!$A:$A,0)),"")</f>
        <v/>
      </c>
      <c r="M365" s="52" t="str">
        <f>IFERROR(INDEX('OBA Dump'!D:D,MATCH($E365*1,'OBA Dump'!$A:$A,0)),"")</f>
        <v/>
      </c>
      <c r="N365" s="52"/>
      <c r="O365" s="52"/>
      <c r="P365" s="53"/>
      <c r="Q365" s="52"/>
      <c r="R365" s="38" t="str">
        <f>_xlfn.IFNA(VLOOKUP(E365,'Pre-Booked Holidays'!A:B,2,0),"")</f>
        <v/>
      </c>
      <c r="S365" s="38" t="str">
        <f>IF(E365="","",IF(IFERROR(VLOOKUP(E365,'Onbase Report'!D:E,2,0),"")&lt;&gt;"","Details in Onbase","No Details"))</f>
        <v/>
      </c>
      <c r="T365" s="38" t="str">
        <f>IF(LEFT('Salesforce Dump'!Q362,5)="BHX10",LEFT('Salesforce Dump'!Q362,5),LEFT('Salesforce Dump'!Q362,4))</f>
        <v/>
      </c>
      <c r="U365" s="38"/>
    </row>
    <row r="366" spans="1:21" ht="14.5" x14ac:dyDescent="0.35">
      <c r="A366" s="47" t="str">
        <f>IF('Salesforce Dump'!A363&lt;&gt;"",'Salesforce Dump'!A363,"")</f>
        <v/>
      </c>
      <c r="B366" s="48"/>
      <c r="C366" s="49" t="str">
        <f>IF('Salesforce Dump'!B363&lt;&gt;"",'Salesforce Dump'!B363,"")</f>
        <v/>
      </c>
      <c r="D366" s="48"/>
      <c r="E366" s="50" t="str">
        <f>IF('Salesforce Dump'!C363&lt;&gt;"",'Salesforce Dump'!C363,"")</f>
        <v/>
      </c>
      <c r="F366" s="49" t="str">
        <f>IF('Salesforce Dump'!D363&lt;&gt;"",'Salesforce Dump'!D363,"")</f>
        <v/>
      </c>
      <c r="G366" s="49" t="str">
        <f>IF('Salesforce Dump'!E363&lt;&gt;"",'Salesforce Dump'!E363,"")</f>
        <v/>
      </c>
      <c r="H366" s="49" t="str">
        <f>IF('Salesforce Dump'!G363&lt;&gt;"",'Salesforce Dump'!G363,"")</f>
        <v/>
      </c>
      <c r="I366" s="49" t="str">
        <f>IF('Salesforce Dump'!H363&lt;&gt;"",'Salesforce Dump'!H363,"")</f>
        <v/>
      </c>
      <c r="J366" s="51" t="str">
        <f>IF('Salesforce Dump'!I363&lt;&gt;"",'Salesforce Dump'!I363,"")</f>
        <v/>
      </c>
      <c r="K366" s="51" t="str">
        <f>IF('Salesforce Dump'!J363&lt;&gt;"",'Salesforce Dump'!J363,"")</f>
        <v/>
      </c>
      <c r="L366" s="52" t="str">
        <f>IFERROR(INDEX('OBA Dump'!C:C,MATCH($E366*1,'OBA Dump'!$A:$A,0)),"")</f>
        <v/>
      </c>
      <c r="M366" s="52" t="str">
        <f>IFERROR(INDEX('OBA Dump'!D:D,MATCH($E366*1,'OBA Dump'!$A:$A,0)),"")</f>
        <v/>
      </c>
      <c r="N366" s="52"/>
      <c r="O366" s="52"/>
      <c r="P366" s="53"/>
      <c r="Q366" s="52"/>
      <c r="R366" s="38" t="str">
        <f>_xlfn.IFNA(VLOOKUP(E366,'Pre-Booked Holidays'!A:B,2,0),"")</f>
        <v/>
      </c>
      <c r="S366" s="38" t="str">
        <f>IF(E366="","",IF(IFERROR(VLOOKUP(E366,'Onbase Report'!D:E,2,0),"")&lt;&gt;"","Details in Onbase","No Details"))</f>
        <v/>
      </c>
      <c r="T366" s="38" t="str">
        <f>IF(LEFT('Salesforce Dump'!Q363,5)="BHX10",LEFT('Salesforce Dump'!Q363,5),LEFT('Salesforce Dump'!Q363,4))</f>
        <v/>
      </c>
      <c r="U366" s="38"/>
    </row>
    <row r="367" spans="1:21" ht="14.5" x14ac:dyDescent="0.35">
      <c r="A367" s="47" t="str">
        <f>IF('Salesforce Dump'!A364&lt;&gt;"",'Salesforce Dump'!A364,"")</f>
        <v/>
      </c>
      <c r="B367" s="48"/>
      <c r="C367" s="49" t="str">
        <f>IF('Salesforce Dump'!B364&lt;&gt;"",'Salesforce Dump'!B364,"")</f>
        <v/>
      </c>
      <c r="D367" s="48"/>
      <c r="E367" s="50" t="str">
        <f>IF('Salesforce Dump'!C364&lt;&gt;"",'Salesforce Dump'!C364,"")</f>
        <v/>
      </c>
      <c r="F367" s="49" t="str">
        <f>IF('Salesforce Dump'!D364&lt;&gt;"",'Salesforce Dump'!D364,"")</f>
        <v/>
      </c>
      <c r="G367" s="49" t="str">
        <f>IF('Salesforce Dump'!E364&lt;&gt;"",'Salesforce Dump'!E364,"")</f>
        <v/>
      </c>
      <c r="H367" s="49" t="str">
        <f>IF('Salesforce Dump'!G364&lt;&gt;"",'Salesforce Dump'!G364,"")</f>
        <v/>
      </c>
      <c r="I367" s="49" t="str">
        <f>IF('Salesforce Dump'!H364&lt;&gt;"",'Salesforce Dump'!H364,"")</f>
        <v/>
      </c>
      <c r="J367" s="51" t="str">
        <f>IF('Salesforce Dump'!I364&lt;&gt;"",'Salesforce Dump'!I364,"")</f>
        <v/>
      </c>
      <c r="K367" s="51" t="str">
        <f>IF('Salesforce Dump'!J364&lt;&gt;"",'Salesforce Dump'!J364,"")</f>
        <v/>
      </c>
      <c r="L367" s="52" t="str">
        <f>IFERROR(INDEX('OBA Dump'!C:C,MATCH($E367*1,'OBA Dump'!$A:$A,0)),"")</f>
        <v/>
      </c>
      <c r="M367" s="52" t="str">
        <f>IFERROR(INDEX('OBA Dump'!D:D,MATCH($E367*1,'OBA Dump'!$A:$A,0)),"")</f>
        <v/>
      </c>
      <c r="N367" s="52"/>
      <c r="O367" s="52"/>
      <c r="P367" s="53"/>
      <c r="Q367" s="52"/>
      <c r="R367" s="38" t="str">
        <f>_xlfn.IFNA(VLOOKUP(E367,'Pre-Booked Holidays'!A:B,2,0),"")</f>
        <v/>
      </c>
      <c r="S367" s="38" t="str">
        <f>IF(E367="","",IF(IFERROR(VLOOKUP(E367,'Onbase Report'!D:E,2,0),"")&lt;&gt;"","Details in Onbase","No Details"))</f>
        <v/>
      </c>
      <c r="T367" s="38" t="str">
        <f>IF(LEFT('Salesforce Dump'!Q364,5)="BHX10",LEFT('Salesforce Dump'!Q364,5),LEFT('Salesforce Dump'!Q364,4))</f>
        <v/>
      </c>
      <c r="U367" s="38"/>
    </row>
    <row r="368" spans="1:21" ht="14.5" x14ac:dyDescent="0.35">
      <c r="A368" s="47" t="str">
        <f>IF('Salesforce Dump'!A365&lt;&gt;"",'Salesforce Dump'!A365,"")</f>
        <v/>
      </c>
      <c r="B368" s="48"/>
      <c r="C368" s="49" t="str">
        <f>IF('Salesforce Dump'!B365&lt;&gt;"",'Salesforce Dump'!B365,"")</f>
        <v/>
      </c>
      <c r="D368" s="48"/>
      <c r="E368" s="50" t="str">
        <f>IF('Salesforce Dump'!C365&lt;&gt;"",'Salesforce Dump'!C365,"")</f>
        <v/>
      </c>
      <c r="F368" s="49" t="str">
        <f>IF('Salesforce Dump'!D365&lt;&gt;"",'Salesforce Dump'!D365,"")</f>
        <v/>
      </c>
      <c r="G368" s="49" t="str">
        <f>IF('Salesforce Dump'!E365&lt;&gt;"",'Salesforce Dump'!E365,"")</f>
        <v/>
      </c>
      <c r="H368" s="49" t="str">
        <f>IF('Salesforce Dump'!G365&lt;&gt;"",'Salesforce Dump'!G365,"")</f>
        <v/>
      </c>
      <c r="I368" s="49" t="str">
        <f>IF('Salesforce Dump'!H365&lt;&gt;"",'Salesforce Dump'!H365,"")</f>
        <v/>
      </c>
      <c r="J368" s="51" t="str">
        <f>IF('Salesforce Dump'!I365&lt;&gt;"",'Salesforce Dump'!I365,"")</f>
        <v/>
      </c>
      <c r="K368" s="51" t="str">
        <f>IF('Salesforce Dump'!J365&lt;&gt;"",'Salesforce Dump'!J365,"")</f>
        <v/>
      </c>
      <c r="L368" s="52" t="str">
        <f>IFERROR(INDEX('OBA Dump'!C:C,MATCH($E368*1,'OBA Dump'!$A:$A,0)),"")</f>
        <v/>
      </c>
      <c r="M368" s="52" t="str">
        <f>IFERROR(INDEX('OBA Dump'!D:D,MATCH($E368*1,'OBA Dump'!$A:$A,0)),"")</f>
        <v/>
      </c>
      <c r="N368" s="52"/>
      <c r="O368" s="52"/>
      <c r="P368" s="53"/>
      <c r="Q368" s="52"/>
      <c r="R368" s="38" t="str">
        <f>_xlfn.IFNA(VLOOKUP(E368,'Pre-Booked Holidays'!A:B,2,0),"")</f>
        <v/>
      </c>
      <c r="S368" s="38" t="str">
        <f>IF(E368="","",IF(IFERROR(VLOOKUP(E368,'Onbase Report'!D:E,2,0),"")&lt;&gt;"","Details in Onbase","No Details"))</f>
        <v/>
      </c>
      <c r="T368" s="38" t="str">
        <f>IF(LEFT('Salesforce Dump'!Q365,5)="BHX10",LEFT('Salesforce Dump'!Q365,5),LEFT('Salesforce Dump'!Q365,4))</f>
        <v/>
      </c>
      <c r="U368" s="38"/>
    </row>
    <row r="369" spans="1:21" ht="14.5" x14ac:dyDescent="0.35">
      <c r="A369" s="47" t="str">
        <f>IF('Salesforce Dump'!A366&lt;&gt;"",'Salesforce Dump'!A366,"")</f>
        <v/>
      </c>
      <c r="B369" s="48"/>
      <c r="C369" s="49" t="str">
        <f>IF('Salesforce Dump'!B366&lt;&gt;"",'Salesforce Dump'!B366,"")</f>
        <v/>
      </c>
      <c r="D369" s="48"/>
      <c r="E369" s="50" t="str">
        <f>IF('Salesforce Dump'!C366&lt;&gt;"",'Salesforce Dump'!C366,"")</f>
        <v/>
      </c>
      <c r="F369" s="49" t="str">
        <f>IF('Salesforce Dump'!D366&lt;&gt;"",'Salesforce Dump'!D366,"")</f>
        <v/>
      </c>
      <c r="G369" s="49" t="str">
        <f>IF('Salesforce Dump'!E366&lt;&gt;"",'Salesforce Dump'!E366,"")</f>
        <v/>
      </c>
      <c r="H369" s="49" t="str">
        <f>IF('Salesforce Dump'!G366&lt;&gt;"",'Salesforce Dump'!G366,"")</f>
        <v/>
      </c>
      <c r="I369" s="49" t="str">
        <f>IF('Salesforce Dump'!H366&lt;&gt;"",'Salesforce Dump'!H366,"")</f>
        <v/>
      </c>
      <c r="J369" s="51" t="str">
        <f>IF('Salesforce Dump'!I366&lt;&gt;"",'Salesforce Dump'!I366,"")</f>
        <v/>
      </c>
      <c r="K369" s="51" t="str">
        <f>IF('Salesforce Dump'!J366&lt;&gt;"",'Salesforce Dump'!J366,"")</f>
        <v/>
      </c>
      <c r="L369" s="52" t="str">
        <f>IFERROR(INDEX('OBA Dump'!C:C,MATCH($E369*1,'OBA Dump'!$A:$A,0)),"")</f>
        <v/>
      </c>
      <c r="M369" s="52" t="str">
        <f>IFERROR(INDEX('OBA Dump'!D:D,MATCH($E369*1,'OBA Dump'!$A:$A,0)),"")</f>
        <v/>
      </c>
      <c r="N369" s="52"/>
      <c r="O369" s="52"/>
      <c r="P369" s="53"/>
      <c r="Q369" s="52"/>
      <c r="R369" s="38" t="str">
        <f>_xlfn.IFNA(VLOOKUP(E369,'Pre-Booked Holidays'!A:B,2,0),"")</f>
        <v/>
      </c>
      <c r="S369" s="38" t="str">
        <f>IF(E369="","",IF(IFERROR(VLOOKUP(E369,'Onbase Report'!D:E,2,0),"")&lt;&gt;"","Details in Onbase","No Details"))</f>
        <v/>
      </c>
      <c r="T369" s="38" t="str">
        <f>IF(LEFT('Salesforce Dump'!Q366,5)="BHX10",LEFT('Salesforce Dump'!Q366,5),LEFT('Salesforce Dump'!Q366,4))</f>
        <v/>
      </c>
      <c r="U369" s="38"/>
    </row>
    <row r="370" spans="1:21" ht="14.5" x14ac:dyDescent="0.35">
      <c r="A370" s="47" t="str">
        <f>IF('Salesforce Dump'!A367&lt;&gt;"",'Salesforce Dump'!A367,"")</f>
        <v/>
      </c>
      <c r="B370" s="48"/>
      <c r="C370" s="49" t="str">
        <f>IF('Salesforce Dump'!B367&lt;&gt;"",'Salesforce Dump'!B367,"")</f>
        <v/>
      </c>
      <c r="D370" s="48"/>
      <c r="E370" s="50" t="str">
        <f>IF('Salesforce Dump'!C367&lt;&gt;"",'Salesforce Dump'!C367,"")</f>
        <v/>
      </c>
      <c r="F370" s="49" t="str">
        <f>IF('Salesforce Dump'!D367&lt;&gt;"",'Salesforce Dump'!D367,"")</f>
        <v/>
      </c>
      <c r="G370" s="49" t="str">
        <f>IF('Salesforce Dump'!E367&lt;&gt;"",'Salesforce Dump'!E367,"")</f>
        <v/>
      </c>
      <c r="H370" s="49" t="str">
        <f>IF('Salesforce Dump'!G367&lt;&gt;"",'Salesforce Dump'!G367,"")</f>
        <v/>
      </c>
      <c r="I370" s="49" t="str">
        <f>IF('Salesforce Dump'!H367&lt;&gt;"",'Salesforce Dump'!H367,"")</f>
        <v/>
      </c>
      <c r="J370" s="51" t="str">
        <f>IF('Salesforce Dump'!I367&lt;&gt;"",'Salesforce Dump'!I367,"")</f>
        <v/>
      </c>
      <c r="K370" s="51" t="str">
        <f>IF('Salesforce Dump'!J367&lt;&gt;"",'Salesforce Dump'!J367,"")</f>
        <v/>
      </c>
      <c r="L370" s="52" t="str">
        <f>IFERROR(INDEX('OBA Dump'!C:C,MATCH($E370*1,'OBA Dump'!$A:$A,0)),"")</f>
        <v/>
      </c>
      <c r="M370" s="52" t="str">
        <f>IFERROR(INDEX('OBA Dump'!D:D,MATCH($E370*1,'OBA Dump'!$A:$A,0)),"")</f>
        <v/>
      </c>
      <c r="N370" s="52"/>
      <c r="O370" s="52"/>
      <c r="P370" s="53"/>
      <c r="Q370" s="52"/>
      <c r="R370" s="38" t="str">
        <f>_xlfn.IFNA(VLOOKUP(E370,'Pre-Booked Holidays'!A:B,2,0),"")</f>
        <v/>
      </c>
      <c r="S370" s="38" t="str">
        <f>IF(E370="","",IF(IFERROR(VLOOKUP(E370,'Onbase Report'!D:E,2,0),"")&lt;&gt;"","Details in Onbase","No Details"))</f>
        <v/>
      </c>
      <c r="T370" s="38" t="str">
        <f>IF(LEFT('Salesforce Dump'!Q367,5)="BHX10",LEFT('Salesforce Dump'!Q367,5),LEFT('Salesforce Dump'!Q367,4))</f>
        <v/>
      </c>
      <c r="U370" s="38"/>
    </row>
    <row r="371" spans="1:21" ht="14.5" x14ac:dyDescent="0.35">
      <c r="A371" s="47" t="str">
        <f>IF('Salesforce Dump'!A368&lt;&gt;"",'Salesforce Dump'!A368,"")</f>
        <v/>
      </c>
      <c r="B371" s="48"/>
      <c r="C371" s="49" t="str">
        <f>IF('Salesforce Dump'!B368&lt;&gt;"",'Salesforce Dump'!B368,"")</f>
        <v/>
      </c>
      <c r="D371" s="48"/>
      <c r="E371" s="50" t="str">
        <f>IF('Salesforce Dump'!C368&lt;&gt;"",'Salesforce Dump'!C368,"")</f>
        <v/>
      </c>
      <c r="F371" s="49" t="str">
        <f>IF('Salesforce Dump'!D368&lt;&gt;"",'Salesforce Dump'!D368,"")</f>
        <v/>
      </c>
      <c r="G371" s="49" t="str">
        <f>IF('Salesforce Dump'!E368&lt;&gt;"",'Salesforce Dump'!E368,"")</f>
        <v/>
      </c>
      <c r="H371" s="49" t="str">
        <f>IF('Salesforce Dump'!G368&lt;&gt;"",'Salesforce Dump'!G368,"")</f>
        <v/>
      </c>
      <c r="I371" s="49" t="str">
        <f>IF('Salesforce Dump'!H368&lt;&gt;"",'Salesforce Dump'!H368,"")</f>
        <v/>
      </c>
      <c r="J371" s="51" t="str">
        <f>IF('Salesforce Dump'!I368&lt;&gt;"",'Salesforce Dump'!I368,"")</f>
        <v/>
      </c>
      <c r="K371" s="51" t="str">
        <f>IF('Salesforce Dump'!J368&lt;&gt;"",'Salesforce Dump'!J368,"")</f>
        <v/>
      </c>
      <c r="L371" s="52" t="str">
        <f>IFERROR(INDEX('OBA Dump'!C:C,MATCH($E371*1,'OBA Dump'!$A:$A,0)),"")</f>
        <v/>
      </c>
      <c r="M371" s="52" t="str">
        <f>IFERROR(INDEX('OBA Dump'!D:D,MATCH($E371*1,'OBA Dump'!$A:$A,0)),"")</f>
        <v/>
      </c>
      <c r="N371" s="52"/>
      <c r="O371" s="52"/>
      <c r="P371" s="53"/>
      <c r="Q371" s="52"/>
      <c r="R371" s="38" t="str">
        <f>_xlfn.IFNA(VLOOKUP(E371,'Pre-Booked Holidays'!A:B,2,0),"")</f>
        <v/>
      </c>
      <c r="S371" s="38" t="str">
        <f>IF(E371="","",IF(IFERROR(VLOOKUP(E371,'Onbase Report'!D:E,2,0),"")&lt;&gt;"","Details in Onbase","No Details"))</f>
        <v/>
      </c>
      <c r="T371" s="38" t="str">
        <f>IF(LEFT('Salesforce Dump'!Q368,5)="BHX10",LEFT('Salesforce Dump'!Q368,5),LEFT('Salesforce Dump'!Q368,4))</f>
        <v/>
      </c>
      <c r="U371" s="38"/>
    </row>
    <row r="372" spans="1:21" ht="14.5" x14ac:dyDescent="0.35">
      <c r="A372" s="47" t="str">
        <f>IF('Salesforce Dump'!A369&lt;&gt;"",'Salesforce Dump'!A369,"")</f>
        <v/>
      </c>
      <c r="B372" s="48"/>
      <c r="C372" s="49" t="str">
        <f>IF('Salesforce Dump'!B369&lt;&gt;"",'Salesforce Dump'!B369,"")</f>
        <v/>
      </c>
      <c r="D372" s="48"/>
      <c r="E372" s="50" t="str">
        <f>IF('Salesforce Dump'!C369&lt;&gt;"",'Salesforce Dump'!C369,"")</f>
        <v/>
      </c>
      <c r="F372" s="49" t="str">
        <f>IF('Salesforce Dump'!D369&lt;&gt;"",'Salesforce Dump'!D369,"")</f>
        <v/>
      </c>
      <c r="G372" s="49" t="str">
        <f>IF('Salesforce Dump'!E369&lt;&gt;"",'Salesforce Dump'!E369,"")</f>
        <v/>
      </c>
      <c r="H372" s="49" t="str">
        <f>IF('Salesforce Dump'!G369&lt;&gt;"",'Salesforce Dump'!G369,"")</f>
        <v/>
      </c>
      <c r="I372" s="49" t="str">
        <f>IF('Salesforce Dump'!H369&lt;&gt;"",'Salesforce Dump'!H369,"")</f>
        <v/>
      </c>
      <c r="J372" s="51" t="str">
        <f>IF('Salesforce Dump'!I369&lt;&gt;"",'Salesforce Dump'!I369,"")</f>
        <v/>
      </c>
      <c r="K372" s="51" t="str">
        <f>IF('Salesforce Dump'!J369&lt;&gt;"",'Salesforce Dump'!J369,"")</f>
        <v/>
      </c>
      <c r="L372" s="52" t="str">
        <f>IFERROR(INDEX('OBA Dump'!C:C,MATCH($E372*1,'OBA Dump'!$A:$A,0)),"")</f>
        <v/>
      </c>
      <c r="M372" s="52" t="str">
        <f>IFERROR(INDEX('OBA Dump'!D:D,MATCH($E372*1,'OBA Dump'!$A:$A,0)),"")</f>
        <v/>
      </c>
      <c r="N372" s="52"/>
      <c r="O372" s="52"/>
      <c r="P372" s="53"/>
      <c r="Q372" s="52"/>
      <c r="R372" s="38" t="str">
        <f>_xlfn.IFNA(VLOOKUP(E372,'Pre-Booked Holidays'!A:B,2,0),"")</f>
        <v/>
      </c>
      <c r="S372" s="38" t="str">
        <f>IF(E372="","",IF(IFERROR(VLOOKUP(E372,'Onbase Report'!D:E,2,0),"")&lt;&gt;"","Details in Onbase","No Details"))</f>
        <v/>
      </c>
      <c r="T372" s="38" t="str">
        <f>IF(LEFT('Salesforce Dump'!Q369,5)="BHX10",LEFT('Salesforce Dump'!Q369,5),LEFT('Salesforce Dump'!Q369,4))</f>
        <v/>
      </c>
      <c r="U372" s="38"/>
    </row>
    <row r="373" spans="1:21" ht="14.5" x14ac:dyDescent="0.35">
      <c r="A373" s="47" t="str">
        <f>IF('Salesforce Dump'!A370&lt;&gt;"",'Salesforce Dump'!A370,"")</f>
        <v/>
      </c>
      <c r="B373" s="48"/>
      <c r="C373" s="49" t="str">
        <f>IF('Salesforce Dump'!B370&lt;&gt;"",'Salesforce Dump'!B370,"")</f>
        <v/>
      </c>
      <c r="D373" s="48"/>
      <c r="E373" s="50" t="str">
        <f>IF('Salesforce Dump'!C370&lt;&gt;"",'Salesforce Dump'!C370,"")</f>
        <v/>
      </c>
      <c r="F373" s="49" t="str">
        <f>IF('Salesforce Dump'!D370&lt;&gt;"",'Salesforce Dump'!D370,"")</f>
        <v/>
      </c>
      <c r="G373" s="49" t="str">
        <f>IF('Salesforce Dump'!E370&lt;&gt;"",'Salesforce Dump'!E370,"")</f>
        <v/>
      </c>
      <c r="H373" s="49" t="str">
        <f>IF('Salesforce Dump'!G370&lt;&gt;"",'Salesforce Dump'!G370,"")</f>
        <v/>
      </c>
      <c r="I373" s="49" t="str">
        <f>IF('Salesforce Dump'!H370&lt;&gt;"",'Salesforce Dump'!H370,"")</f>
        <v/>
      </c>
      <c r="J373" s="51" t="str">
        <f>IF('Salesforce Dump'!I370&lt;&gt;"",'Salesforce Dump'!I370,"")</f>
        <v/>
      </c>
      <c r="K373" s="51" t="str">
        <f>IF('Salesforce Dump'!J370&lt;&gt;"",'Salesforce Dump'!J370,"")</f>
        <v/>
      </c>
      <c r="L373" s="52" t="str">
        <f>IFERROR(INDEX('OBA Dump'!C:C,MATCH($E373*1,'OBA Dump'!$A:$A,0)),"")</f>
        <v/>
      </c>
      <c r="M373" s="52" t="str">
        <f>IFERROR(INDEX('OBA Dump'!D:D,MATCH($E373*1,'OBA Dump'!$A:$A,0)),"")</f>
        <v/>
      </c>
      <c r="N373" s="52"/>
      <c r="O373" s="52"/>
      <c r="P373" s="53"/>
      <c r="Q373" s="52"/>
      <c r="R373" s="38" t="str">
        <f>_xlfn.IFNA(VLOOKUP(E373,'Pre-Booked Holidays'!A:B,2,0),"")</f>
        <v/>
      </c>
      <c r="S373" s="38" t="str">
        <f>IF(E373="","",IF(IFERROR(VLOOKUP(E373,'Onbase Report'!D:E,2,0),"")&lt;&gt;"","Details in Onbase","No Details"))</f>
        <v/>
      </c>
      <c r="T373" s="38" t="str">
        <f>IF(LEFT('Salesforce Dump'!Q370,5)="BHX10",LEFT('Salesforce Dump'!Q370,5),LEFT('Salesforce Dump'!Q370,4))</f>
        <v/>
      </c>
      <c r="U373" s="38"/>
    </row>
    <row r="374" spans="1:21" ht="14.5" x14ac:dyDescent="0.35">
      <c r="A374" s="47" t="str">
        <f>IF('Salesforce Dump'!A371&lt;&gt;"",'Salesforce Dump'!A371,"")</f>
        <v/>
      </c>
      <c r="B374" s="48"/>
      <c r="C374" s="49" t="str">
        <f>IF('Salesforce Dump'!B371&lt;&gt;"",'Salesforce Dump'!B371,"")</f>
        <v/>
      </c>
      <c r="D374" s="48"/>
      <c r="E374" s="50" t="str">
        <f>IF('Salesforce Dump'!C371&lt;&gt;"",'Salesforce Dump'!C371,"")</f>
        <v/>
      </c>
      <c r="F374" s="49" t="str">
        <f>IF('Salesforce Dump'!D371&lt;&gt;"",'Salesforce Dump'!D371,"")</f>
        <v/>
      </c>
      <c r="G374" s="49" t="str">
        <f>IF('Salesforce Dump'!E371&lt;&gt;"",'Salesforce Dump'!E371,"")</f>
        <v/>
      </c>
      <c r="H374" s="49" t="str">
        <f>IF('Salesforce Dump'!G371&lt;&gt;"",'Salesforce Dump'!G371,"")</f>
        <v/>
      </c>
      <c r="I374" s="49" t="str">
        <f>IF('Salesforce Dump'!H371&lt;&gt;"",'Salesforce Dump'!H371,"")</f>
        <v/>
      </c>
      <c r="J374" s="51" t="str">
        <f>IF('Salesforce Dump'!I371&lt;&gt;"",'Salesforce Dump'!I371,"")</f>
        <v/>
      </c>
      <c r="K374" s="51" t="str">
        <f>IF('Salesforce Dump'!J371&lt;&gt;"",'Salesforce Dump'!J371,"")</f>
        <v/>
      </c>
      <c r="L374" s="52" t="str">
        <f>IFERROR(INDEX('OBA Dump'!C:C,MATCH($E374*1,'OBA Dump'!$A:$A,0)),"")</f>
        <v/>
      </c>
      <c r="M374" s="52" t="str">
        <f>IFERROR(INDEX('OBA Dump'!D:D,MATCH($E374*1,'OBA Dump'!$A:$A,0)),"")</f>
        <v/>
      </c>
      <c r="N374" s="52"/>
      <c r="O374" s="52"/>
      <c r="P374" s="53"/>
      <c r="Q374" s="52"/>
      <c r="R374" s="38" t="str">
        <f>_xlfn.IFNA(VLOOKUP(E374,'Pre-Booked Holidays'!A:B,2,0),"")</f>
        <v/>
      </c>
      <c r="S374" s="38" t="str">
        <f>IF(E374="","",IF(IFERROR(VLOOKUP(E374,'Onbase Report'!D:E,2,0),"")&lt;&gt;"","Details in Onbase","No Details"))</f>
        <v/>
      </c>
      <c r="T374" s="38" t="str">
        <f>IF(LEFT('Salesforce Dump'!Q371,5)="BHX10",LEFT('Salesforce Dump'!Q371,5),LEFT('Salesforce Dump'!Q371,4))</f>
        <v/>
      </c>
      <c r="U374" s="38"/>
    </row>
    <row r="375" spans="1:21" ht="14.5" x14ac:dyDescent="0.35">
      <c r="A375" s="47" t="str">
        <f>IF('Salesforce Dump'!A372&lt;&gt;"",'Salesforce Dump'!A372,"")</f>
        <v/>
      </c>
      <c r="B375" s="48"/>
      <c r="C375" s="49" t="str">
        <f>IF('Salesforce Dump'!B372&lt;&gt;"",'Salesforce Dump'!B372,"")</f>
        <v/>
      </c>
      <c r="D375" s="48"/>
      <c r="E375" s="50" t="str">
        <f>IF('Salesforce Dump'!C372&lt;&gt;"",'Salesforce Dump'!C372,"")</f>
        <v/>
      </c>
      <c r="F375" s="49" t="str">
        <f>IF('Salesforce Dump'!D372&lt;&gt;"",'Salesforce Dump'!D372,"")</f>
        <v/>
      </c>
      <c r="G375" s="49" t="str">
        <f>IF('Salesforce Dump'!E372&lt;&gt;"",'Salesforce Dump'!E372,"")</f>
        <v/>
      </c>
      <c r="H375" s="49" t="str">
        <f>IF('Salesforce Dump'!G372&lt;&gt;"",'Salesforce Dump'!G372,"")</f>
        <v/>
      </c>
      <c r="I375" s="49" t="str">
        <f>IF('Salesforce Dump'!H372&lt;&gt;"",'Salesforce Dump'!H372,"")</f>
        <v/>
      </c>
      <c r="J375" s="51" t="str">
        <f>IF('Salesforce Dump'!I372&lt;&gt;"",'Salesforce Dump'!I372,"")</f>
        <v/>
      </c>
      <c r="K375" s="51" t="str">
        <f>IF('Salesforce Dump'!J372&lt;&gt;"",'Salesforce Dump'!J372,"")</f>
        <v/>
      </c>
      <c r="L375" s="52" t="str">
        <f>IFERROR(INDEX('OBA Dump'!C:C,MATCH($E375*1,'OBA Dump'!$A:$A,0)),"")</f>
        <v/>
      </c>
      <c r="M375" s="52" t="str">
        <f>IFERROR(INDEX('OBA Dump'!D:D,MATCH($E375*1,'OBA Dump'!$A:$A,0)),"")</f>
        <v/>
      </c>
      <c r="N375" s="52"/>
      <c r="O375" s="52"/>
      <c r="P375" s="53"/>
      <c r="Q375" s="52"/>
      <c r="R375" s="38" t="str">
        <f>_xlfn.IFNA(VLOOKUP(E375,'Pre-Booked Holidays'!A:B,2,0),"")</f>
        <v/>
      </c>
      <c r="S375" s="38" t="str">
        <f>IF(E375="","",IF(IFERROR(VLOOKUP(E375,'Onbase Report'!D:E,2,0),"")&lt;&gt;"","Details in Onbase","No Details"))</f>
        <v/>
      </c>
      <c r="T375" s="38" t="str">
        <f>IF(LEFT('Salesforce Dump'!Q372,5)="BHX10",LEFT('Salesforce Dump'!Q372,5),LEFT('Salesforce Dump'!Q372,4))</f>
        <v/>
      </c>
      <c r="U375" s="38"/>
    </row>
    <row r="376" spans="1:21" ht="14.5" x14ac:dyDescent="0.35">
      <c r="A376" s="47" t="str">
        <f>IF('Salesforce Dump'!A373&lt;&gt;"",'Salesforce Dump'!A373,"")</f>
        <v/>
      </c>
      <c r="B376" s="48"/>
      <c r="C376" s="49" t="str">
        <f>IF('Salesforce Dump'!B373&lt;&gt;"",'Salesforce Dump'!B373,"")</f>
        <v/>
      </c>
      <c r="D376" s="48"/>
      <c r="E376" s="50" t="str">
        <f>IF('Salesforce Dump'!C373&lt;&gt;"",'Salesforce Dump'!C373,"")</f>
        <v/>
      </c>
      <c r="F376" s="49" t="str">
        <f>IF('Salesforce Dump'!D373&lt;&gt;"",'Salesforce Dump'!D373,"")</f>
        <v/>
      </c>
      <c r="G376" s="49" t="str">
        <f>IF('Salesforce Dump'!E373&lt;&gt;"",'Salesforce Dump'!E373,"")</f>
        <v/>
      </c>
      <c r="H376" s="49" t="str">
        <f>IF('Salesforce Dump'!G373&lt;&gt;"",'Salesforce Dump'!G373,"")</f>
        <v/>
      </c>
      <c r="I376" s="49" t="str">
        <f>IF('Salesforce Dump'!H373&lt;&gt;"",'Salesforce Dump'!H373,"")</f>
        <v/>
      </c>
      <c r="J376" s="51" t="str">
        <f>IF('Salesforce Dump'!I373&lt;&gt;"",'Salesforce Dump'!I373,"")</f>
        <v/>
      </c>
      <c r="K376" s="51" t="str">
        <f>IF('Salesforce Dump'!J373&lt;&gt;"",'Salesforce Dump'!J373,"")</f>
        <v/>
      </c>
      <c r="L376" s="52" t="str">
        <f>IFERROR(INDEX('OBA Dump'!C:C,MATCH($E376*1,'OBA Dump'!$A:$A,0)),"")</f>
        <v/>
      </c>
      <c r="M376" s="52" t="str">
        <f>IFERROR(INDEX('OBA Dump'!D:D,MATCH($E376*1,'OBA Dump'!$A:$A,0)),"")</f>
        <v/>
      </c>
      <c r="N376" s="52"/>
      <c r="O376" s="52"/>
      <c r="P376" s="53"/>
      <c r="Q376" s="52"/>
      <c r="R376" s="38" t="str">
        <f>_xlfn.IFNA(VLOOKUP(E376,'Pre-Booked Holidays'!A:B,2,0),"")</f>
        <v/>
      </c>
      <c r="S376" s="38" t="str">
        <f>IF(E376="","",IF(IFERROR(VLOOKUP(E376,'Onbase Report'!D:E,2,0),"")&lt;&gt;"","Details in Onbase","No Details"))</f>
        <v/>
      </c>
      <c r="T376" s="38" t="str">
        <f>IF(LEFT('Salesforce Dump'!Q373,5)="BHX10",LEFT('Salesforce Dump'!Q373,5),LEFT('Salesforce Dump'!Q373,4))</f>
        <v/>
      </c>
      <c r="U376" s="38"/>
    </row>
    <row r="377" spans="1:21" ht="14.5" x14ac:dyDescent="0.35">
      <c r="A377" s="47" t="str">
        <f>IF('Salesforce Dump'!A374&lt;&gt;"",'Salesforce Dump'!A374,"")</f>
        <v/>
      </c>
      <c r="B377" s="48"/>
      <c r="C377" s="49" t="str">
        <f>IF('Salesforce Dump'!B374&lt;&gt;"",'Salesforce Dump'!B374,"")</f>
        <v/>
      </c>
      <c r="D377" s="48"/>
      <c r="E377" s="50" t="str">
        <f>IF('Salesforce Dump'!C374&lt;&gt;"",'Salesforce Dump'!C374,"")</f>
        <v/>
      </c>
      <c r="F377" s="49" t="str">
        <f>IF('Salesforce Dump'!D374&lt;&gt;"",'Salesforce Dump'!D374,"")</f>
        <v/>
      </c>
      <c r="G377" s="49" t="str">
        <f>IF('Salesforce Dump'!E374&lt;&gt;"",'Salesforce Dump'!E374,"")</f>
        <v/>
      </c>
      <c r="H377" s="49" t="str">
        <f>IF('Salesforce Dump'!G374&lt;&gt;"",'Salesforce Dump'!G374,"")</f>
        <v/>
      </c>
      <c r="I377" s="49" t="str">
        <f>IF('Salesforce Dump'!H374&lt;&gt;"",'Salesforce Dump'!H374,"")</f>
        <v/>
      </c>
      <c r="J377" s="51" t="str">
        <f>IF('Salesforce Dump'!I374&lt;&gt;"",'Salesforce Dump'!I374,"")</f>
        <v/>
      </c>
      <c r="K377" s="51" t="str">
        <f>IF('Salesforce Dump'!J374&lt;&gt;"",'Salesforce Dump'!J374,"")</f>
        <v/>
      </c>
      <c r="L377" s="52" t="str">
        <f>IFERROR(INDEX('OBA Dump'!C:C,MATCH($E377*1,'OBA Dump'!$A:$A,0)),"")</f>
        <v/>
      </c>
      <c r="M377" s="52" t="str">
        <f>IFERROR(INDEX('OBA Dump'!D:D,MATCH($E377*1,'OBA Dump'!$A:$A,0)),"")</f>
        <v/>
      </c>
      <c r="N377" s="52"/>
      <c r="O377" s="52"/>
      <c r="P377" s="53"/>
      <c r="Q377" s="52"/>
      <c r="R377" s="38" t="str">
        <f>_xlfn.IFNA(VLOOKUP(E377,'Pre-Booked Holidays'!A:B,2,0),"")</f>
        <v/>
      </c>
      <c r="S377" s="38" t="str">
        <f>IF(E377="","",IF(IFERROR(VLOOKUP(E377,'Onbase Report'!D:E,2,0),"")&lt;&gt;"","Details in Onbase","No Details"))</f>
        <v/>
      </c>
      <c r="T377" s="38" t="str">
        <f>IF(LEFT('Salesforce Dump'!Q374,5)="BHX10",LEFT('Salesforce Dump'!Q374,5),LEFT('Salesforce Dump'!Q374,4))</f>
        <v/>
      </c>
      <c r="U377" s="38"/>
    </row>
    <row r="378" spans="1:21" ht="14.5" x14ac:dyDescent="0.35">
      <c r="A378" s="47" t="str">
        <f>IF('Salesforce Dump'!A375&lt;&gt;"",'Salesforce Dump'!A375,"")</f>
        <v/>
      </c>
      <c r="B378" s="48"/>
      <c r="C378" s="49" t="str">
        <f>IF('Salesforce Dump'!B375&lt;&gt;"",'Salesforce Dump'!B375,"")</f>
        <v/>
      </c>
      <c r="D378" s="48"/>
      <c r="E378" s="50" t="str">
        <f>IF('Salesforce Dump'!C375&lt;&gt;"",'Salesforce Dump'!C375,"")</f>
        <v/>
      </c>
      <c r="F378" s="49" t="str">
        <f>IF('Salesforce Dump'!D375&lt;&gt;"",'Salesforce Dump'!D375,"")</f>
        <v/>
      </c>
      <c r="G378" s="49" t="str">
        <f>IF('Salesforce Dump'!E375&lt;&gt;"",'Salesforce Dump'!E375,"")</f>
        <v/>
      </c>
      <c r="H378" s="49" t="str">
        <f>IF('Salesforce Dump'!G375&lt;&gt;"",'Salesforce Dump'!G375,"")</f>
        <v/>
      </c>
      <c r="I378" s="49" t="str">
        <f>IF('Salesforce Dump'!H375&lt;&gt;"",'Salesforce Dump'!H375,"")</f>
        <v/>
      </c>
      <c r="J378" s="51" t="str">
        <f>IF('Salesforce Dump'!I375&lt;&gt;"",'Salesforce Dump'!I375,"")</f>
        <v/>
      </c>
      <c r="K378" s="51" t="str">
        <f>IF('Salesforce Dump'!J375&lt;&gt;"",'Salesforce Dump'!J375,"")</f>
        <v/>
      </c>
      <c r="L378" s="52" t="str">
        <f>IFERROR(INDEX('OBA Dump'!C:C,MATCH($E378*1,'OBA Dump'!$A:$A,0)),"")</f>
        <v/>
      </c>
      <c r="M378" s="52" t="str">
        <f>IFERROR(INDEX('OBA Dump'!D:D,MATCH($E378*1,'OBA Dump'!$A:$A,0)),"")</f>
        <v/>
      </c>
      <c r="N378" s="52"/>
      <c r="O378" s="52"/>
      <c r="P378" s="53"/>
      <c r="Q378" s="52"/>
      <c r="R378" s="38" t="str">
        <f>_xlfn.IFNA(VLOOKUP(E378,'Pre-Booked Holidays'!A:B,2,0),"")</f>
        <v/>
      </c>
      <c r="S378" s="38" t="str">
        <f>IF(E378="","",IF(IFERROR(VLOOKUP(E378,'Onbase Report'!D:E,2,0),"")&lt;&gt;"","Details in Onbase","No Details"))</f>
        <v/>
      </c>
      <c r="T378" s="38" t="str">
        <f>IF(LEFT('Salesforce Dump'!Q375,5)="BHX10",LEFT('Salesforce Dump'!Q375,5),LEFT('Salesforce Dump'!Q375,4))</f>
        <v/>
      </c>
      <c r="U378" s="38"/>
    </row>
    <row r="379" spans="1:21" ht="14.5" x14ac:dyDescent="0.35">
      <c r="A379" s="47" t="str">
        <f>IF('Salesforce Dump'!A376&lt;&gt;"",'Salesforce Dump'!A376,"")</f>
        <v/>
      </c>
      <c r="B379" s="48"/>
      <c r="C379" s="49" t="str">
        <f>IF('Salesforce Dump'!B376&lt;&gt;"",'Salesforce Dump'!B376,"")</f>
        <v/>
      </c>
      <c r="D379" s="48"/>
      <c r="E379" s="50" t="str">
        <f>IF('Salesforce Dump'!C376&lt;&gt;"",'Salesforce Dump'!C376,"")</f>
        <v/>
      </c>
      <c r="F379" s="49" t="str">
        <f>IF('Salesforce Dump'!D376&lt;&gt;"",'Salesforce Dump'!D376,"")</f>
        <v/>
      </c>
      <c r="G379" s="49" t="str">
        <f>IF('Salesforce Dump'!E376&lt;&gt;"",'Salesforce Dump'!E376,"")</f>
        <v/>
      </c>
      <c r="H379" s="49" t="str">
        <f>IF('Salesforce Dump'!G376&lt;&gt;"",'Salesforce Dump'!G376,"")</f>
        <v/>
      </c>
      <c r="I379" s="49" t="str">
        <f>IF('Salesforce Dump'!H376&lt;&gt;"",'Salesforce Dump'!H376,"")</f>
        <v/>
      </c>
      <c r="J379" s="51" t="str">
        <f>IF('Salesforce Dump'!I376&lt;&gt;"",'Salesforce Dump'!I376,"")</f>
        <v/>
      </c>
      <c r="K379" s="51" t="str">
        <f>IF('Salesforce Dump'!J376&lt;&gt;"",'Salesforce Dump'!J376,"")</f>
        <v/>
      </c>
      <c r="L379" s="52" t="str">
        <f>IFERROR(INDEX('OBA Dump'!C:C,MATCH($E379*1,'OBA Dump'!$A:$A,0)),"")</f>
        <v/>
      </c>
      <c r="M379" s="52" t="str">
        <f>IFERROR(INDEX('OBA Dump'!D:D,MATCH($E379*1,'OBA Dump'!$A:$A,0)),"")</f>
        <v/>
      </c>
      <c r="N379" s="52"/>
      <c r="O379" s="52"/>
      <c r="P379" s="53"/>
      <c r="Q379" s="52"/>
      <c r="R379" s="38" t="str">
        <f>_xlfn.IFNA(VLOOKUP(E379,'Pre-Booked Holidays'!A:B,2,0),"")</f>
        <v/>
      </c>
      <c r="S379" s="38" t="str">
        <f>IF(E379="","",IF(IFERROR(VLOOKUP(E379,'Onbase Report'!D:E,2,0),"")&lt;&gt;"","Details in Onbase","No Details"))</f>
        <v/>
      </c>
      <c r="T379" s="38" t="str">
        <f>IF(LEFT('Salesforce Dump'!Q376,5)="BHX10",LEFT('Salesforce Dump'!Q376,5),LEFT('Salesforce Dump'!Q376,4))</f>
        <v/>
      </c>
      <c r="U379" s="38"/>
    </row>
    <row r="380" spans="1:21" ht="14.5" x14ac:dyDescent="0.35">
      <c r="A380" s="47" t="str">
        <f>IF('Salesforce Dump'!A377&lt;&gt;"",'Salesforce Dump'!A377,"")</f>
        <v/>
      </c>
      <c r="B380" s="48"/>
      <c r="C380" s="49" t="str">
        <f>IF('Salesforce Dump'!B377&lt;&gt;"",'Salesforce Dump'!B377,"")</f>
        <v/>
      </c>
      <c r="D380" s="48"/>
      <c r="E380" s="50" t="str">
        <f>IF('Salesforce Dump'!C377&lt;&gt;"",'Salesforce Dump'!C377,"")</f>
        <v/>
      </c>
      <c r="F380" s="49" t="str">
        <f>IF('Salesforce Dump'!D377&lt;&gt;"",'Salesforce Dump'!D377,"")</f>
        <v/>
      </c>
      <c r="G380" s="49" t="str">
        <f>IF('Salesforce Dump'!E377&lt;&gt;"",'Salesforce Dump'!E377,"")</f>
        <v/>
      </c>
      <c r="H380" s="49" t="str">
        <f>IF('Salesforce Dump'!G377&lt;&gt;"",'Salesforce Dump'!G377,"")</f>
        <v/>
      </c>
      <c r="I380" s="49" t="str">
        <f>IF('Salesforce Dump'!H377&lt;&gt;"",'Salesforce Dump'!H377,"")</f>
        <v/>
      </c>
      <c r="J380" s="51" t="str">
        <f>IF('Salesforce Dump'!I377&lt;&gt;"",'Salesforce Dump'!I377,"")</f>
        <v/>
      </c>
      <c r="K380" s="51" t="str">
        <f>IF('Salesforce Dump'!J377&lt;&gt;"",'Salesforce Dump'!J377,"")</f>
        <v/>
      </c>
      <c r="L380" s="52" t="str">
        <f>IFERROR(INDEX('OBA Dump'!C:C,MATCH($E380*1,'OBA Dump'!$A:$A,0)),"")</f>
        <v/>
      </c>
      <c r="M380" s="52" t="str">
        <f>IFERROR(INDEX('OBA Dump'!D:D,MATCH($E380*1,'OBA Dump'!$A:$A,0)),"")</f>
        <v/>
      </c>
      <c r="N380" s="52"/>
      <c r="O380" s="52"/>
      <c r="P380" s="53"/>
      <c r="Q380" s="52"/>
      <c r="R380" s="38" t="str">
        <f>_xlfn.IFNA(VLOOKUP(E380,'Pre-Booked Holidays'!A:B,2,0),"")</f>
        <v/>
      </c>
      <c r="S380" s="38" t="str">
        <f>IF(E380="","",IF(IFERROR(VLOOKUP(E380,'Onbase Report'!D:E,2,0),"")&lt;&gt;"","Details in Onbase","No Details"))</f>
        <v/>
      </c>
      <c r="T380" s="38" t="str">
        <f>IF(LEFT('Salesforce Dump'!Q377,5)="BHX10",LEFT('Salesforce Dump'!Q377,5),LEFT('Salesforce Dump'!Q377,4))</f>
        <v/>
      </c>
      <c r="U380" s="38"/>
    </row>
    <row r="381" spans="1:21" ht="14.5" x14ac:dyDescent="0.35">
      <c r="A381" s="47" t="str">
        <f>IF('Salesforce Dump'!A378&lt;&gt;"",'Salesforce Dump'!A378,"")</f>
        <v/>
      </c>
      <c r="B381" s="48"/>
      <c r="C381" s="49" t="str">
        <f>IF('Salesforce Dump'!B378&lt;&gt;"",'Salesforce Dump'!B378,"")</f>
        <v/>
      </c>
      <c r="D381" s="48"/>
      <c r="E381" s="50" t="str">
        <f>IF('Salesforce Dump'!C378&lt;&gt;"",'Salesforce Dump'!C378,"")</f>
        <v/>
      </c>
      <c r="F381" s="49" t="str">
        <f>IF('Salesforce Dump'!D378&lt;&gt;"",'Salesforce Dump'!D378,"")</f>
        <v/>
      </c>
      <c r="G381" s="49" t="str">
        <f>IF('Salesforce Dump'!E378&lt;&gt;"",'Salesforce Dump'!E378,"")</f>
        <v/>
      </c>
      <c r="H381" s="49" t="str">
        <f>IF('Salesforce Dump'!G378&lt;&gt;"",'Salesforce Dump'!G378,"")</f>
        <v/>
      </c>
      <c r="I381" s="49" t="str">
        <f>IF('Salesforce Dump'!H378&lt;&gt;"",'Salesforce Dump'!H378,"")</f>
        <v/>
      </c>
      <c r="J381" s="51" t="str">
        <f>IF('Salesforce Dump'!I378&lt;&gt;"",'Salesforce Dump'!I378,"")</f>
        <v/>
      </c>
      <c r="K381" s="51" t="str">
        <f>IF('Salesforce Dump'!J378&lt;&gt;"",'Salesforce Dump'!J378,"")</f>
        <v/>
      </c>
      <c r="L381" s="52" t="str">
        <f>IFERROR(INDEX('OBA Dump'!C:C,MATCH($E381*1,'OBA Dump'!$A:$A,0)),"")</f>
        <v/>
      </c>
      <c r="M381" s="52" t="str">
        <f>IFERROR(INDEX('OBA Dump'!D:D,MATCH($E381*1,'OBA Dump'!$A:$A,0)),"")</f>
        <v/>
      </c>
      <c r="N381" s="52"/>
      <c r="O381" s="52"/>
      <c r="P381" s="53"/>
      <c r="Q381" s="52"/>
      <c r="R381" s="38" t="str">
        <f>_xlfn.IFNA(VLOOKUP(E381,'Pre-Booked Holidays'!A:B,2,0),"")</f>
        <v/>
      </c>
      <c r="S381" s="38" t="str">
        <f>IF(E381="","",IF(IFERROR(VLOOKUP(E381,'Onbase Report'!D:E,2,0),"")&lt;&gt;"","Details in Onbase","No Details"))</f>
        <v/>
      </c>
      <c r="T381" s="38" t="str">
        <f>IF(LEFT('Salesforce Dump'!Q378,5)="BHX10",LEFT('Salesforce Dump'!Q378,5),LEFT('Salesforce Dump'!Q378,4))</f>
        <v/>
      </c>
      <c r="U381" s="38"/>
    </row>
    <row r="382" spans="1:21" ht="14.5" x14ac:dyDescent="0.35">
      <c r="A382" s="47" t="str">
        <f>IF('Salesforce Dump'!A379&lt;&gt;"",'Salesforce Dump'!A379,"")</f>
        <v/>
      </c>
      <c r="B382" s="48"/>
      <c r="C382" s="49" t="str">
        <f>IF('Salesforce Dump'!B379&lt;&gt;"",'Salesforce Dump'!B379,"")</f>
        <v/>
      </c>
      <c r="D382" s="48"/>
      <c r="E382" s="50" t="str">
        <f>IF('Salesforce Dump'!C379&lt;&gt;"",'Salesforce Dump'!C379,"")</f>
        <v/>
      </c>
      <c r="F382" s="49" t="str">
        <f>IF('Salesforce Dump'!D379&lt;&gt;"",'Salesforce Dump'!D379,"")</f>
        <v/>
      </c>
      <c r="G382" s="49" t="str">
        <f>IF('Salesforce Dump'!E379&lt;&gt;"",'Salesforce Dump'!E379,"")</f>
        <v/>
      </c>
      <c r="H382" s="49" t="str">
        <f>IF('Salesforce Dump'!G379&lt;&gt;"",'Salesforce Dump'!G379,"")</f>
        <v/>
      </c>
      <c r="I382" s="49" t="str">
        <f>IF('Salesforce Dump'!H379&lt;&gt;"",'Salesforce Dump'!H379,"")</f>
        <v/>
      </c>
      <c r="J382" s="51" t="str">
        <f>IF('Salesforce Dump'!I379&lt;&gt;"",'Salesforce Dump'!I379,"")</f>
        <v/>
      </c>
      <c r="K382" s="51" t="str">
        <f>IF('Salesforce Dump'!J379&lt;&gt;"",'Salesforce Dump'!J379,"")</f>
        <v/>
      </c>
      <c r="L382" s="52" t="str">
        <f>IFERROR(INDEX('OBA Dump'!C:C,MATCH($E382*1,'OBA Dump'!$A:$A,0)),"")</f>
        <v/>
      </c>
      <c r="M382" s="52" t="str">
        <f>IFERROR(INDEX('OBA Dump'!D:D,MATCH($E382*1,'OBA Dump'!$A:$A,0)),"")</f>
        <v/>
      </c>
      <c r="N382" s="52"/>
      <c r="O382" s="52"/>
      <c r="P382" s="53"/>
      <c r="Q382" s="52"/>
      <c r="R382" s="38" t="str">
        <f>_xlfn.IFNA(VLOOKUP(E382,'Pre-Booked Holidays'!A:B,2,0),"")</f>
        <v/>
      </c>
      <c r="S382" s="38" t="str">
        <f>IF(E382="","",IF(IFERROR(VLOOKUP(E382,'Onbase Report'!D:E,2,0),"")&lt;&gt;"","Details in Onbase","No Details"))</f>
        <v/>
      </c>
      <c r="T382" s="38" t="str">
        <f>IF(LEFT('Salesforce Dump'!Q379,5)="BHX10",LEFT('Salesforce Dump'!Q379,5),LEFT('Salesforce Dump'!Q379,4))</f>
        <v/>
      </c>
      <c r="U382" s="38"/>
    </row>
    <row r="383" spans="1:21" ht="14.5" x14ac:dyDescent="0.35">
      <c r="A383" s="47" t="str">
        <f>IF('Salesforce Dump'!A380&lt;&gt;"",'Salesforce Dump'!A380,"")</f>
        <v/>
      </c>
      <c r="B383" s="48"/>
      <c r="C383" s="49" t="str">
        <f>IF('Salesforce Dump'!B380&lt;&gt;"",'Salesforce Dump'!B380,"")</f>
        <v/>
      </c>
      <c r="D383" s="48"/>
      <c r="E383" s="50" t="str">
        <f>IF('Salesforce Dump'!C380&lt;&gt;"",'Salesforce Dump'!C380,"")</f>
        <v/>
      </c>
      <c r="F383" s="49" t="str">
        <f>IF('Salesforce Dump'!D380&lt;&gt;"",'Salesforce Dump'!D380,"")</f>
        <v/>
      </c>
      <c r="G383" s="49" t="str">
        <f>IF('Salesforce Dump'!E380&lt;&gt;"",'Salesforce Dump'!E380,"")</f>
        <v/>
      </c>
      <c r="H383" s="49" t="str">
        <f>IF('Salesforce Dump'!G380&lt;&gt;"",'Salesforce Dump'!G380,"")</f>
        <v/>
      </c>
      <c r="I383" s="49" t="str">
        <f>IF('Salesforce Dump'!H380&lt;&gt;"",'Salesforce Dump'!H380,"")</f>
        <v/>
      </c>
      <c r="J383" s="51" t="str">
        <f>IF('Salesforce Dump'!I380&lt;&gt;"",'Salesforce Dump'!I380,"")</f>
        <v/>
      </c>
      <c r="K383" s="51" t="str">
        <f>IF('Salesforce Dump'!J380&lt;&gt;"",'Salesforce Dump'!J380,"")</f>
        <v/>
      </c>
      <c r="L383" s="52" t="str">
        <f>IFERROR(INDEX('OBA Dump'!C:C,MATCH($E383*1,'OBA Dump'!$A:$A,0)),"")</f>
        <v/>
      </c>
      <c r="M383" s="52" t="str">
        <f>IFERROR(INDEX('OBA Dump'!D:D,MATCH($E383*1,'OBA Dump'!$A:$A,0)),"")</f>
        <v/>
      </c>
      <c r="N383" s="52"/>
      <c r="O383" s="52"/>
      <c r="P383" s="53"/>
      <c r="Q383" s="52"/>
      <c r="R383" s="38" t="str">
        <f>_xlfn.IFNA(VLOOKUP(E383,'Pre-Booked Holidays'!A:B,2,0),"")</f>
        <v/>
      </c>
      <c r="S383" s="38" t="str">
        <f>IF(E383="","",IF(IFERROR(VLOOKUP(E383,'Onbase Report'!D:E,2,0),"")&lt;&gt;"","Details in Onbase","No Details"))</f>
        <v/>
      </c>
      <c r="T383" s="38" t="str">
        <f>IF(LEFT('Salesforce Dump'!Q380,5)="BHX10",LEFT('Salesforce Dump'!Q380,5),LEFT('Salesforce Dump'!Q380,4))</f>
        <v/>
      </c>
      <c r="U383" s="38"/>
    </row>
    <row r="384" spans="1:21" ht="14.5" x14ac:dyDescent="0.35">
      <c r="A384" s="47" t="str">
        <f>IF('Salesforce Dump'!A381&lt;&gt;"",'Salesforce Dump'!A381,"")</f>
        <v/>
      </c>
      <c r="B384" s="48"/>
      <c r="C384" s="49" t="str">
        <f>IF('Salesforce Dump'!B381&lt;&gt;"",'Salesforce Dump'!B381,"")</f>
        <v/>
      </c>
      <c r="D384" s="48"/>
      <c r="E384" s="50" t="str">
        <f>IF('Salesforce Dump'!C381&lt;&gt;"",'Salesforce Dump'!C381,"")</f>
        <v/>
      </c>
      <c r="F384" s="49" t="str">
        <f>IF('Salesforce Dump'!D381&lt;&gt;"",'Salesforce Dump'!D381,"")</f>
        <v/>
      </c>
      <c r="G384" s="49" t="str">
        <f>IF('Salesforce Dump'!E381&lt;&gt;"",'Salesforce Dump'!E381,"")</f>
        <v/>
      </c>
      <c r="H384" s="49" t="str">
        <f>IF('Salesforce Dump'!G381&lt;&gt;"",'Salesforce Dump'!G381,"")</f>
        <v/>
      </c>
      <c r="I384" s="49" t="str">
        <f>IF('Salesforce Dump'!H381&lt;&gt;"",'Salesforce Dump'!H381,"")</f>
        <v/>
      </c>
      <c r="J384" s="51" t="str">
        <f>IF('Salesforce Dump'!I381&lt;&gt;"",'Salesforce Dump'!I381,"")</f>
        <v/>
      </c>
      <c r="K384" s="51" t="str">
        <f>IF('Salesforce Dump'!J381&lt;&gt;"",'Salesforce Dump'!J381,"")</f>
        <v/>
      </c>
      <c r="L384" s="52" t="str">
        <f>IFERROR(INDEX('OBA Dump'!C:C,MATCH($E384*1,'OBA Dump'!$A:$A,0)),"")</f>
        <v/>
      </c>
      <c r="M384" s="52" t="str">
        <f>IFERROR(INDEX('OBA Dump'!D:D,MATCH($E384*1,'OBA Dump'!$A:$A,0)),"")</f>
        <v/>
      </c>
      <c r="N384" s="52"/>
      <c r="O384" s="52"/>
      <c r="P384" s="53"/>
      <c r="Q384" s="52"/>
      <c r="R384" s="38" t="str">
        <f>_xlfn.IFNA(VLOOKUP(E384,'Pre-Booked Holidays'!A:B,2,0),"")</f>
        <v/>
      </c>
      <c r="S384" s="38" t="str">
        <f>IF(E384="","",IF(IFERROR(VLOOKUP(E384,'Onbase Report'!D:E,2,0),"")&lt;&gt;"","Details in Onbase","No Details"))</f>
        <v/>
      </c>
      <c r="T384" s="38" t="str">
        <f>IF(LEFT('Salesforce Dump'!Q381,5)="BHX10",LEFT('Salesforce Dump'!Q381,5),LEFT('Salesforce Dump'!Q381,4))</f>
        <v/>
      </c>
      <c r="U384" s="38"/>
    </row>
    <row r="385" spans="1:21" ht="14.5" x14ac:dyDescent="0.35">
      <c r="A385" s="47" t="str">
        <f>IF('Salesforce Dump'!A382&lt;&gt;"",'Salesforce Dump'!A382,"")</f>
        <v/>
      </c>
      <c r="B385" s="48"/>
      <c r="C385" s="49" t="str">
        <f>IF('Salesforce Dump'!B382&lt;&gt;"",'Salesforce Dump'!B382,"")</f>
        <v/>
      </c>
      <c r="D385" s="48"/>
      <c r="E385" s="50" t="str">
        <f>IF('Salesforce Dump'!C382&lt;&gt;"",'Salesforce Dump'!C382,"")</f>
        <v/>
      </c>
      <c r="F385" s="49" t="str">
        <f>IF('Salesforce Dump'!D382&lt;&gt;"",'Salesforce Dump'!D382,"")</f>
        <v/>
      </c>
      <c r="G385" s="49" t="str">
        <f>IF('Salesforce Dump'!E382&lt;&gt;"",'Salesforce Dump'!E382,"")</f>
        <v/>
      </c>
      <c r="H385" s="49" t="str">
        <f>IF('Salesforce Dump'!G382&lt;&gt;"",'Salesforce Dump'!G382,"")</f>
        <v/>
      </c>
      <c r="I385" s="49" t="str">
        <f>IF('Salesforce Dump'!H382&lt;&gt;"",'Salesforce Dump'!H382,"")</f>
        <v/>
      </c>
      <c r="J385" s="51" t="str">
        <f>IF('Salesforce Dump'!I382&lt;&gt;"",'Salesforce Dump'!I382,"")</f>
        <v/>
      </c>
      <c r="K385" s="51" t="str">
        <f>IF('Salesforce Dump'!J382&lt;&gt;"",'Salesforce Dump'!J382,"")</f>
        <v/>
      </c>
      <c r="L385" s="52" t="str">
        <f>IFERROR(INDEX('OBA Dump'!C:C,MATCH($E385*1,'OBA Dump'!$A:$A,0)),"")</f>
        <v/>
      </c>
      <c r="M385" s="52" t="str">
        <f>IFERROR(INDEX('OBA Dump'!D:D,MATCH($E385*1,'OBA Dump'!$A:$A,0)),"")</f>
        <v/>
      </c>
      <c r="N385" s="52"/>
      <c r="O385" s="52"/>
      <c r="P385" s="53"/>
      <c r="Q385" s="52"/>
      <c r="R385" s="38" t="str">
        <f>_xlfn.IFNA(VLOOKUP(E385,'Pre-Booked Holidays'!A:B,2,0),"")</f>
        <v/>
      </c>
      <c r="S385" s="38" t="str">
        <f>IF(E385="","",IF(IFERROR(VLOOKUP(E385,'Onbase Report'!D:E,2,0),"")&lt;&gt;"","Details in Onbase","No Details"))</f>
        <v/>
      </c>
      <c r="T385" s="38" t="str">
        <f>IF(LEFT('Salesforce Dump'!Q382,5)="BHX10",LEFT('Salesforce Dump'!Q382,5),LEFT('Salesforce Dump'!Q382,4))</f>
        <v/>
      </c>
      <c r="U385" s="38"/>
    </row>
    <row r="386" spans="1:21" ht="14.5" x14ac:dyDescent="0.35">
      <c r="A386" s="47" t="str">
        <f>IF('Salesforce Dump'!A383&lt;&gt;"",'Salesforce Dump'!A383,"")</f>
        <v/>
      </c>
      <c r="B386" s="48"/>
      <c r="C386" s="49" t="str">
        <f>IF('Salesforce Dump'!B383&lt;&gt;"",'Salesforce Dump'!B383,"")</f>
        <v/>
      </c>
      <c r="D386" s="48"/>
      <c r="E386" s="50" t="str">
        <f>IF('Salesforce Dump'!C383&lt;&gt;"",'Salesforce Dump'!C383,"")</f>
        <v/>
      </c>
      <c r="F386" s="49" t="str">
        <f>IF('Salesforce Dump'!D383&lt;&gt;"",'Salesforce Dump'!D383,"")</f>
        <v/>
      </c>
      <c r="G386" s="49" t="str">
        <f>IF('Salesforce Dump'!E383&lt;&gt;"",'Salesforce Dump'!E383,"")</f>
        <v/>
      </c>
      <c r="H386" s="49" t="str">
        <f>IF('Salesforce Dump'!G383&lt;&gt;"",'Salesforce Dump'!G383,"")</f>
        <v/>
      </c>
      <c r="I386" s="49" t="str">
        <f>IF('Salesforce Dump'!H383&lt;&gt;"",'Salesforce Dump'!H383,"")</f>
        <v/>
      </c>
      <c r="J386" s="51" t="str">
        <f>IF('Salesforce Dump'!I383&lt;&gt;"",'Salesforce Dump'!I383,"")</f>
        <v/>
      </c>
      <c r="K386" s="51" t="str">
        <f>IF('Salesforce Dump'!J383&lt;&gt;"",'Salesforce Dump'!J383,"")</f>
        <v/>
      </c>
      <c r="L386" s="52" t="str">
        <f>IFERROR(INDEX('OBA Dump'!C:C,MATCH($E386*1,'OBA Dump'!$A:$A,0)),"")</f>
        <v/>
      </c>
      <c r="M386" s="52" t="str">
        <f>IFERROR(INDEX('OBA Dump'!D:D,MATCH($E386*1,'OBA Dump'!$A:$A,0)),"")</f>
        <v/>
      </c>
      <c r="N386" s="52"/>
      <c r="O386" s="52"/>
      <c r="P386" s="53"/>
      <c r="Q386" s="52"/>
      <c r="R386" s="38" t="str">
        <f>_xlfn.IFNA(VLOOKUP(E386,'Pre-Booked Holidays'!A:B,2,0),"")</f>
        <v/>
      </c>
      <c r="S386" s="38" t="str">
        <f>IF(E386="","",IF(IFERROR(VLOOKUP(E386,'Onbase Report'!D:E,2,0),"")&lt;&gt;"","Details in Onbase","No Details"))</f>
        <v/>
      </c>
      <c r="T386" s="38" t="str">
        <f>IF(LEFT('Salesforce Dump'!Q383,5)="BHX10",LEFT('Salesforce Dump'!Q383,5),LEFT('Salesforce Dump'!Q383,4))</f>
        <v/>
      </c>
      <c r="U386" s="38"/>
    </row>
    <row r="387" spans="1:21" ht="14.5" x14ac:dyDescent="0.35">
      <c r="A387" s="47" t="str">
        <f>IF('Salesforce Dump'!A384&lt;&gt;"",'Salesforce Dump'!A384,"")</f>
        <v/>
      </c>
      <c r="B387" s="48"/>
      <c r="C387" s="49" t="str">
        <f>IF('Salesforce Dump'!B384&lt;&gt;"",'Salesforce Dump'!B384,"")</f>
        <v/>
      </c>
      <c r="D387" s="48"/>
      <c r="E387" s="50" t="str">
        <f>IF('Salesforce Dump'!C384&lt;&gt;"",'Salesforce Dump'!C384,"")</f>
        <v/>
      </c>
      <c r="F387" s="49" t="str">
        <f>IF('Salesforce Dump'!D384&lt;&gt;"",'Salesforce Dump'!D384,"")</f>
        <v/>
      </c>
      <c r="G387" s="49" t="str">
        <f>IF('Salesforce Dump'!E384&lt;&gt;"",'Salesforce Dump'!E384,"")</f>
        <v/>
      </c>
      <c r="H387" s="49" t="str">
        <f>IF('Salesforce Dump'!G384&lt;&gt;"",'Salesforce Dump'!G384,"")</f>
        <v/>
      </c>
      <c r="I387" s="49" t="str">
        <f>IF('Salesforce Dump'!H384&lt;&gt;"",'Salesforce Dump'!H384,"")</f>
        <v/>
      </c>
      <c r="J387" s="51" t="str">
        <f>IF('Salesforce Dump'!I384&lt;&gt;"",'Salesforce Dump'!I384,"")</f>
        <v/>
      </c>
      <c r="K387" s="51" t="str">
        <f>IF('Salesforce Dump'!J384&lt;&gt;"",'Salesforce Dump'!J384,"")</f>
        <v/>
      </c>
      <c r="L387" s="52" t="str">
        <f>IFERROR(INDEX('OBA Dump'!C:C,MATCH($E387*1,'OBA Dump'!$A:$A,0)),"")</f>
        <v/>
      </c>
      <c r="M387" s="52" t="str">
        <f>IFERROR(INDEX('OBA Dump'!D:D,MATCH($E387*1,'OBA Dump'!$A:$A,0)),"")</f>
        <v/>
      </c>
      <c r="N387" s="52"/>
      <c r="O387" s="52"/>
      <c r="P387" s="53"/>
      <c r="Q387" s="52"/>
      <c r="R387" s="38" t="str">
        <f>_xlfn.IFNA(VLOOKUP(E387,'Pre-Booked Holidays'!A:B,2,0),"")</f>
        <v/>
      </c>
      <c r="S387" s="38" t="str">
        <f>IF(E387="","",IF(IFERROR(VLOOKUP(E387,'Onbase Report'!D:E,2,0),"")&lt;&gt;"","Details in Onbase","No Details"))</f>
        <v/>
      </c>
      <c r="T387" s="38" t="str">
        <f>IF(LEFT('Salesforce Dump'!Q384,5)="BHX10",LEFT('Salesforce Dump'!Q384,5),LEFT('Salesforce Dump'!Q384,4))</f>
        <v/>
      </c>
      <c r="U387" s="38"/>
    </row>
    <row r="388" spans="1:21" ht="14.5" x14ac:dyDescent="0.35">
      <c r="A388" s="47" t="str">
        <f>IF('Salesforce Dump'!A385&lt;&gt;"",'Salesforce Dump'!A385,"")</f>
        <v/>
      </c>
      <c r="B388" s="48"/>
      <c r="C388" s="49" t="str">
        <f>IF('Salesforce Dump'!B385&lt;&gt;"",'Salesforce Dump'!B385,"")</f>
        <v/>
      </c>
      <c r="D388" s="48"/>
      <c r="E388" s="50" t="str">
        <f>IF('Salesforce Dump'!C385&lt;&gt;"",'Salesforce Dump'!C385,"")</f>
        <v/>
      </c>
      <c r="F388" s="49" t="str">
        <f>IF('Salesforce Dump'!D385&lt;&gt;"",'Salesforce Dump'!D385,"")</f>
        <v/>
      </c>
      <c r="G388" s="49" t="str">
        <f>IF('Salesforce Dump'!E385&lt;&gt;"",'Salesforce Dump'!E385,"")</f>
        <v/>
      </c>
      <c r="H388" s="49" t="str">
        <f>IF('Salesforce Dump'!G385&lt;&gt;"",'Salesforce Dump'!G385,"")</f>
        <v/>
      </c>
      <c r="I388" s="49" t="str">
        <f>IF('Salesforce Dump'!H385&lt;&gt;"",'Salesforce Dump'!H385,"")</f>
        <v/>
      </c>
      <c r="J388" s="51" t="str">
        <f>IF('Salesforce Dump'!I385&lt;&gt;"",'Salesforce Dump'!I385,"")</f>
        <v/>
      </c>
      <c r="K388" s="51" t="str">
        <f>IF('Salesforce Dump'!J385&lt;&gt;"",'Salesforce Dump'!J385,"")</f>
        <v/>
      </c>
      <c r="L388" s="52" t="str">
        <f>IFERROR(INDEX('OBA Dump'!C:C,MATCH($E388*1,'OBA Dump'!$A:$A,0)),"")</f>
        <v/>
      </c>
      <c r="M388" s="52" t="str">
        <f>IFERROR(INDEX('OBA Dump'!D:D,MATCH($E388*1,'OBA Dump'!$A:$A,0)),"")</f>
        <v/>
      </c>
      <c r="N388" s="52"/>
      <c r="O388" s="52"/>
      <c r="P388" s="53"/>
      <c r="Q388" s="52"/>
      <c r="R388" s="38" t="str">
        <f>_xlfn.IFNA(VLOOKUP(E388,'Pre-Booked Holidays'!A:B,2,0),"")</f>
        <v/>
      </c>
      <c r="S388" s="38" t="str">
        <f>IF(E388="","",IF(IFERROR(VLOOKUP(E388,'Onbase Report'!D:E,2,0),"")&lt;&gt;"","Details in Onbase","No Details"))</f>
        <v/>
      </c>
      <c r="T388" s="38" t="str">
        <f>IF(LEFT('Salesforce Dump'!Q385,5)="BHX10",LEFT('Salesforce Dump'!Q385,5),LEFT('Salesforce Dump'!Q385,4))</f>
        <v/>
      </c>
      <c r="U388" s="38"/>
    </row>
    <row r="389" spans="1:21" ht="14.5" x14ac:dyDescent="0.35">
      <c r="A389" s="47" t="str">
        <f>IF('Salesforce Dump'!A386&lt;&gt;"",'Salesforce Dump'!A386,"")</f>
        <v/>
      </c>
      <c r="B389" s="48"/>
      <c r="C389" s="49" t="str">
        <f>IF('Salesforce Dump'!B386&lt;&gt;"",'Salesforce Dump'!B386,"")</f>
        <v/>
      </c>
      <c r="D389" s="48"/>
      <c r="E389" s="50" t="str">
        <f>IF('Salesforce Dump'!C386&lt;&gt;"",'Salesforce Dump'!C386,"")</f>
        <v/>
      </c>
      <c r="F389" s="49" t="str">
        <f>IF('Salesforce Dump'!D386&lt;&gt;"",'Salesforce Dump'!D386,"")</f>
        <v/>
      </c>
      <c r="G389" s="49" t="str">
        <f>IF('Salesforce Dump'!E386&lt;&gt;"",'Salesforce Dump'!E386,"")</f>
        <v/>
      </c>
      <c r="H389" s="49" t="str">
        <f>IF('Salesforce Dump'!G386&lt;&gt;"",'Salesforce Dump'!G386,"")</f>
        <v/>
      </c>
      <c r="I389" s="49" t="str">
        <f>IF('Salesforce Dump'!H386&lt;&gt;"",'Salesforce Dump'!H386,"")</f>
        <v/>
      </c>
      <c r="J389" s="51" t="str">
        <f>IF('Salesforce Dump'!I386&lt;&gt;"",'Salesforce Dump'!I386,"")</f>
        <v/>
      </c>
      <c r="K389" s="51" t="str">
        <f>IF('Salesforce Dump'!J386&lt;&gt;"",'Salesforce Dump'!J386,"")</f>
        <v/>
      </c>
      <c r="L389" s="52" t="str">
        <f>IFERROR(INDEX('OBA Dump'!C:C,MATCH($E389*1,'OBA Dump'!$A:$A,0)),"")</f>
        <v/>
      </c>
      <c r="M389" s="52" t="str">
        <f>IFERROR(INDEX('OBA Dump'!D:D,MATCH($E389*1,'OBA Dump'!$A:$A,0)),"")</f>
        <v/>
      </c>
      <c r="N389" s="52"/>
      <c r="O389" s="52"/>
      <c r="P389" s="53"/>
      <c r="Q389" s="52"/>
      <c r="R389" s="38" t="str">
        <f>_xlfn.IFNA(VLOOKUP(E389,'Pre-Booked Holidays'!A:B,2,0),"")</f>
        <v/>
      </c>
      <c r="S389" s="38" t="str">
        <f>IF(E389="","",IF(IFERROR(VLOOKUP(E389,'Onbase Report'!D:E,2,0),"")&lt;&gt;"","Details in Onbase","No Details"))</f>
        <v/>
      </c>
      <c r="T389" s="38" t="str">
        <f>IF(LEFT('Salesforce Dump'!Q386,5)="BHX10",LEFT('Salesforce Dump'!Q386,5),LEFT('Salesforce Dump'!Q386,4))</f>
        <v/>
      </c>
      <c r="U389" s="38"/>
    </row>
    <row r="390" spans="1:21" ht="14.5" x14ac:dyDescent="0.35">
      <c r="A390" s="47" t="str">
        <f>IF('Salesforce Dump'!A387&lt;&gt;"",'Salesforce Dump'!A387,"")</f>
        <v/>
      </c>
      <c r="B390" s="48"/>
      <c r="C390" s="49" t="str">
        <f>IF('Salesforce Dump'!B387&lt;&gt;"",'Salesforce Dump'!B387,"")</f>
        <v/>
      </c>
      <c r="D390" s="48"/>
      <c r="E390" s="50" t="str">
        <f>IF('Salesforce Dump'!C387&lt;&gt;"",'Salesforce Dump'!C387,"")</f>
        <v/>
      </c>
      <c r="F390" s="49" t="str">
        <f>IF('Salesforce Dump'!D387&lt;&gt;"",'Salesforce Dump'!D387,"")</f>
        <v/>
      </c>
      <c r="G390" s="49" t="str">
        <f>IF('Salesforce Dump'!E387&lt;&gt;"",'Salesforce Dump'!E387,"")</f>
        <v/>
      </c>
      <c r="H390" s="49" t="str">
        <f>IF('Salesforce Dump'!G387&lt;&gt;"",'Salesforce Dump'!G387,"")</f>
        <v/>
      </c>
      <c r="I390" s="49" t="str">
        <f>IF('Salesforce Dump'!H387&lt;&gt;"",'Salesforce Dump'!H387,"")</f>
        <v/>
      </c>
      <c r="J390" s="51" t="str">
        <f>IF('Salesforce Dump'!I387&lt;&gt;"",'Salesforce Dump'!I387,"")</f>
        <v/>
      </c>
      <c r="K390" s="51" t="str">
        <f>IF('Salesforce Dump'!J387&lt;&gt;"",'Salesforce Dump'!J387,"")</f>
        <v/>
      </c>
      <c r="L390" s="52" t="str">
        <f>IFERROR(INDEX('OBA Dump'!C:C,MATCH($E390*1,'OBA Dump'!$A:$A,0)),"")</f>
        <v/>
      </c>
      <c r="M390" s="52" t="str">
        <f>IFERROR(INDEX('OBA Dump'!D:D,MATCH($E390*1,'OBA Dump'!$A:$A,0)),"")</f>
        <v/>
      </c>
      <c r="N390" s="52"/>
      <c r="O390" s="52"/>
      <c r="P390" s="53"/>
      <c r="Q390" s="52"/>
      <c r="R390" s="38" t="str">
        <f>_xlfn.IFNA(VLOOKUP(E390,'Pre-Booked Holidays'!A:B,2,0),"")</f>
        <v/>
      </c>
      <c r="S390" s="38" t="str">
        <f>IF(E390="","",IF(IFERROR(VLOOKUP(E390,'Onbase Report'!D:E,2,0),"")&lt;&gt;"","Details in Onbase","No Details"))</f>
        <v/>
      </c>
      <c r="T390" s="38" t="str">
        <f>IF(LEFT('Salesforce Dump'!Q387,5)="BHX10",LEFT('Salesforce Dump'!Q387,5),LEFT('Salesforce Dump'!Q387,4))</f>
        <v/>
      </c>
      <c r="U390" s="38"/>
    </row>
    <row r="391" spans="1:21" ht="14.5" x14ac:dyDescent="0.35">
      <c r="A391" s="47" t="str">
        <f>IF('Salesforce Dump'!A388&lt;&gt;"",'Salesforce Dump'!A388,"")</f>
        <v/>
      </c>
      <c r="B391" s="48"/>
      <c r="C391" s="49" t="str">
        <f>IF('Salesforce Dump'!B388&lt;&gt;"",'Salesforce Dump'!B388,"")</f>
        <v/>
      </c>
      <c r="D391" s="48"/>
      <c r="E391" s="50" t="str">
        <f>IF('Salesforce Dump'!C388&lt;&gt;"",'Salesforce Dump'!C388,"")</f>
        <v/>
      </c>
      <c r="F391" s="49" t="str">
        <f>IF('Salesforce Dump'!D388&lt;&gt;"",'Salesforce Dump'!D388,"")</f>
        <v/>
      </c>
      <c r="G391" s="49" t="str">
        <f>IF('Salesforce Dump'!E388&lt;&gt;"",'Salesforce Dump'!E388,"")</f>
        <v/>
      </c>
      <c r="H391" s="49" t="str">
        <f>IF('Salesforce Dump'!G388&lt;&gt;"",'Salesforce Dump'!G388,"")</f>
        <v/>
      </c>
      <c r="I391" s="49" t="str">
        <f>IF('Salesforce Dump'!H388&lt;&gt;"",'Salesforce Dump'!H388,"")</f>
        <v/>
      </c>
      <c r="J391" s="51" t="str">
        <f>IF('Salesforce Dump'!I388&lt;&gt;"",'Salesforce Dump'!I388,"")</f>
        <v/>
      </c>
      <c r="K391" s="51" t="str">
        <f>IF('Salesforce Dump'!J388&lt;&gt;"",'Salesforce Dump'!J388,"")</f>
        <v/>
      </c>
      <c r="L391" s="52" t="str">
        <f>IFERROR(INDEX('OBA Dump'!C:C,MATCH($E391*1,'OBA Dump'!$A:$A,0)),"")</f>
        <v/>
      </c>
      <c r="M391" s="52" t="str">
        <f>IFERROR(INDEX('OBA Dump'!D:D,MATCH($E391*1,'OBA Dump'!$A:$A,0)),"")</f>
        <v/>
      </c>
      <c r="N391" s="52"/>
      <c r="O391" s="52"/>
      <c r="P391" s="53"/>
      <c r="Q391" s="52"/>
      <c r="R391" s="38" t="str">
        <f>_xlfn.IFNA(VLOOKUP(E391,'Pre-Booked Holidays'!A:B,2,0),"")</f>
        <v/>
      </c>
      <c r="S391" s="38" t="str">
        <f>IF(E391="","",IF(IFERROR(VLOOKUP(E391,'Onbase Report'!D:E,2,0),"")&lt;&gt;"","Details in Onbase","No Details"))</f>
        <v/>
      </c>
      <c r="T391" s="38" t="str">
        <f>IF(LEFT('Salesforce Dump'!Q388,5)="BHX10",LEFT('Salesforce Dump'!Q388,5),LEFT('Salesforce Dump'!Q388,4))</f>
        <v/>
      </c>
      <c r="U391" s="38"/>
    </row>
    <row r="392" spans="1:21" ht="14.5" x14ac:dyDescent="0.35">
      <c r="A392" s="47" t="str">
        <f>IF('Salesforce Dump'!A389&lt;&gt;"",'Salesforce Dump'!A389,"")</f>
        <v/>
      </c>
      <c r="B392" s="48"/>
      <c r="C392" s="49" t="str">
        <f>IF('Salesforce Dump'!B389&lt;&gt;"",'Salesforce Dump'!B389,"")</f>
        <v/>
      </c>
      <c r="D392" s="48"/>
      <c r="E392" s="50" t="str">
        <f>IF('Salesforce Dump'!C389&lt;&gt;"",'Salesforce Dump'!C389,"")</f>
        <v/>
      </c>
      <c r="F392" s="49" t="str">
        <f>IF('Salesforce Dump'!D389&lt;&gt;"",'Salesforce Dump'!D389,"")</f>
        <v/>
      </c>
      <c r="G392" s="49" t="str">
        <f>IF('Salesforce Dump'!E389&lt;&gt;"",'Salesforce Dump'!E389,"")</f>
        <v/>
      </c>
      <c r="H392" s="49" t="str">
        <f>IF('Salesforce Dump'!G389&lt;&gt;"",'Salesforce Dump'!G389,"")</f>
        <v/>
      </c>
      <c r="I392" s="49" t="str">
        <f>IF('Salesforce Dump'!H389&lt;&gt;"",'Salesforce Dump'!H389,"")</f>
        <v/>
      </c>
      <c r="J392" s="51" t="str">
        <f>IF('Salesforce Dump'!I389&lt;&gt;"",'Salesforce Dump'!I389,"")</f>
        <v/>
      </c>
      <c r="K392" s="51" t="str">
        <f>IF('Salesforce Dump'!J389&lt;&gt;"",'Salesforce Dump'!J389,"")</f>
        <v/>
      </c>
      <c r="L392" s="52" t="str">
        <f>IFERROR(INDEX('OBA Dump'!C:C,MATCH($E392*1,'OBA Dump'!$A:$A,0)),"")</f>
        <v/>
      </c>
      <c r="M392" s="52" t="str">
        <f>IFERROR(INDEX('OBA Dump'!D:D,MATCH($E392*1,'OBA Dump'!$A:$A,0)),"")</f>
        <v/>
      </c>
      <c r="N392" s="52"/>
      <c r="O392" s="52"/>
      <c r="P392" s="53"/>
      <c r="Q392" s="52"/>
      <c r="R392" s="38" t="str">
        <f>_xlfn.IFNA(VLOOKUP(E392,'Pre-Booked Holidays'!A:B,2,0),"")</f>
        <v/>
      </c>
      <c r="S392" s="38" t="str">
        <f>IF(E392="","",IF(IFERROR(VLOOKUP(E392,'Onbase Report'!D:E,2,0),"")&lt;&gt;"","Details in Onbase","No Details"))</f>
        <v/>
      </c>
      <c r="T392" s="38" t="str">
        <f>IF(LEFT('Salesforce Dump'!Q389,5)="BHX10",LEFT('Salesforce Dump'!Q389,5),LEFT('Salesforce Dump'!Q389,4))</f>
        <v/>
      </c>
      <c r="U392" s="38"/>
    </row>
    <row r="393" spans="1:21" ht="14.5" x14ac:dyDescent="0.35">
      <c r="A393" s="47" t="str">
        <f>IF('Salesforce Dump'!A390&lt;&gt;"",'Salesforce Dump'!A390,"")</f>
        <v/>
      </c>
      <c r="B393" s="48"/>
      <c r="C393" s="49" t="str">
        <f>IF('Salesforce Dump'!B390&lt;&gt;"",'Salesforce Dump'!B390,"")</f>
        <v/>
      </c>
      <c r="D393" s="48"/>
      <c r="E393" s="50" t="str">
        <f>IF('Salesforce Dump'!C390&lt;&gt;"",'Salesforce Dump'!C390,"")</f>
        <v/>
      </c>
      <c r="F393" s="49" t="str">
        <f>IF('Salesforce Dump'!D390&lt;&gt;"",'Salesforce Dump'!D390,"")</f>
        <v/>
      </c>
      <c r="G393" s="49" t="str">
        <f>IF('Salesforce Dump'!E390&lt;&gt;"",'Salesforce Dump'!E390,"")</f>
        <v/>
      </c>
      <c r="H393" s="49" t="str">
        <f>IF('Salesforce Dump'!G390&lt;&gt;"",'Salesforce Dump'!G390,"")</f>
        <v/>
      </c>
      <c r="I393" s="49" t="str">
        <f>IF('Salesforce Dump'!H390&lt;&gt;"",'Salesforce Dump'!H390,"")</f>
        <v/>
      </c>
      <c r="J393" s="51" t="str">
        <f>IF('Salesforce Dump'!I390&lt;&gt;"",'Salesforce Dump'!I390,"")</f>
        <v/>
      </c>
      <c r="K393" s="51" t="str">
        <f>IF('Salesforce Dump'!J390&lt;&gt;"",'Salesforce Dump'!J390,"")</f>
        <v/>
      </c>
      <c r="L393" s="52" t="str">
        <f>IFERROR(INDEX('OBA Dump'!C:C,MATCH($E393*1,'OBA Dump'!$A:$A,0)),"")</f>
        <v/>
      </c>
      <c r="M393" s="52" t="str">
        <f>IFERROR(INDEX('OBA Dump'!D:D,MATCH($E393*1,'OBA Dump'!$A:$A,0)),"")</f>
        <v/>
      </c>
      <c r="N393" s="52"/>
      <c r="O393" s="52"/>
      <c r="P393" s="53"/>
      <c r="Q393" s="52"/>
      <c r="R393" s="38" t="str">
        <f>_xlfn.IFNA(VLOOKUP(E393,'Pre-Booked Holidays'!A:B,2,0),"")</f>
        <v/>
      </c>
      <c r="S393" s="38" t="str">
        <f>IF(E393="","",IF(IFERROR(VLOOKUP(E393,'Onbase Report'!D:E,2,0),"")&lt;&gt;"","Details in Onbase","No Details"))</f>
        <v/>
      </c>
      <c r="T393" s="38" t="str">
        <f>IF(LEFT('Salesforce Dump'!Q390,5)="BHX10",LEFT('Salesforce Dump'!Q390,5),LEFT('Salesforce Dump'!Q390,4))</f>
        <v/>
      </c>
      <c r="U393" s="38"/>
    </row>
    <row r="394" spans="1:21" ht="14.5" x14ac:dyDescent="0.35">
      <c r="A394" s="47" t="str">
        <f>IF('Salesforce Dump'!A391&lt;&gt;"",'Salesforce Dump'!A391,"")</f>
        <v/>
      </c>
      <c r="B394" s="48"/>
      <c r="C394" s="49" t="str">
        <f>IF('Salesforce Dump'!B391&lt;&gt;"",'Salesforce Dump'!B391,"")</f>
        <v/>
      </c>
      <c r="D394" s="48"/>
      <c r="E394" s="50" t="str">
        <f>IF('Salesforce Dump'!C391&lt;&gt;"",'Salesforce Dump'!C391,"")</f>
        <v/>
      </c>
      <c r="F394" s="49" t="str">
        <f>IF('Salesforce Dump'!D391&lt;&gt;"",'Salesforce Dump'!D391,"")</f>
        <v/>
      </c>
      <c r="G394" s="49" t="str">
        <f>IF('Salesforce Dump'!E391&lt;&gt;"",'Salesforce Dump'!E391,"")</f>
        <v/>
      </c>
      <c r="H394" s="49" t="str">
        <f>IF('Salesforce Dump'!G391&lt;&gt;"",'Salesforce Dump'!G391,"")</f>
        <v/>
      </c>
      <c r="I394" s="49" t="str">
        <f>IF('Salesforce Dump'!H391&lt;&gt;"",'Salesforce Dump'!H391,"")</f>
        <v/>
      </c>
      <c r="J394" s="51" t="str">
        <f>IF('Salesforce Dump'!I391&lt;&gt;"",'Salesforce Dump'!I391,"")</f>
        <v/>
      </c>
      <c r="K394" s="51" t="str">
        <f>IF('Salesforce Dump'!J391&lt;&gt;"",'Salesforce Dump'!J391,"")</f>
        <v/>
      </c>
      <c r="L394" s="52" t="str">
        <f>IFERROR(INDEX('OBA Dump'!C:C,MATCH($E394*1,'OBA Dump'!$A:$A,0)),"")</f>
        <v/>
      </c>
      <c r="M394" s="52" t="str">
        <f>IFERROR(INDEX('OBA Dump'!D:D,MATCH($E394*1,'OBA Dump'!$A:$A,0)),"")</f>
        <v/>
      </c>
      <c r="N394" s="52"/>
      <c r="O394" s="52"/>
      <c r="P394" s="53"/>
      <c r="Q394" s="52"/>
      <c r="R394" s="38" t="str">
        <f>_xlfn.IFNA(VLOOKUP(E394,'Pre-Booked Holidays'!A:B,2,0),"")</f>
        <v/>
      </c>
      <c r="S394" s="38" t="str">
        <f>IF(E394="","",IF(IFERROR(VLOOKUP(E394,'Onbase Report'!D:E,2,0),"")&lt;&gt;"","Details in Onbase","No Details"))</f>
        <v/>
      </c>
      <c r="T394" s="38" t="str">
        <f>IF(LEFT('Salesforce Dump'!Q391,5)="BHX10",LEFT('Salesforce Dump'!Q391,5),LEFT('Salesforce Dump'!Q391,4))</f>
        <v/>
      </c>
      <c r="U394" s="38"/>
    </row>
    <row r="395" spans="1:21" ht="14.5" x14ac:dyDescent="0.35">
      <c r="A395" s="47" t="str">
        <f>IF('Salesforce Dump'!A392&lt;&gt;"",'Salesforce Dump'!A392,"")</f>
        <v/>
      </c>
      <c r="B395" s="48"/>
      <c r="C395" s="49" t="str">
        <f>IF('Salesforce Dump'!B392&lt;&gt;"",'Salesforce Dump'!B392,"")</f>
        <v/>
      </c>
      <c r="D395" s="48"/>
      <c r="E395" s="50" t="str">
        <f>IF('Salesforce Dump'!C392&lt;&gt;"",'Salesforce Dump'!C392,"")</f>
        <v/>
      </c>
      <c r="F395" s="49" t="str">
        <f>IF('Salesforce Dump'!D392&lt;&gt;"",'Salesforce Dump'!D392,"")</f>
        <v/>
      </c>
      <c r="G395" s="49" t="str">
        <f>IF('Salesforce Dump'!E392&lt;&gt;"",'Salesforce Dump'!E392,"")</f>
        <v/>
      </c>
      <c r="H395" s="49" t="str">
        <f>IF('Salesforce Dump'!G392&lt;&gt;"",'Salesforce Dump'!G392,"")</f>
        <v/>
      </c>
      <c r="I395" s="49" t="str">
        <f>IF('Salesforce Dump'!H392&lt;&gt;"",'Salesforce Dump'!H392,"")</f>
        <v/>
      </c>
      <c r="J395" s="51" t="str">
        <f>IF('Salesforce Dump'!I392&lt;&gt;"",'Salesforce Dump'!I392,"")</f>
        <v/>
      </c>
      <c r="K395" s="51" t="str">
        <f>IF('Salesforce Dump'!J392&lt;&gt;"",'Salesforce Dump'!J392,"")</f>
        <v/>
      </c>
      <c r="L395" s="52" t="str">
        <f>IFERROR(INDEX('OBA Dump'!C:C,MATCH($E395*1,'OBA Dump'!$A:$A,0)),"")</f>
        <v/>
      </c>
      <c r="M395" s="52" t="str">
        <f>IFERROR(INDEX('OBA Dump'!D:D,MATCH($E395*1,'OBA Dump'!$A:$A,0)),"")</f>
        <v/>
      </c>
      <c r="N395" s="52"/>
      <c r="O395" s="52"/>
      <c r="P395" s="53"/>
      <c r="Q395" s="52"/>
      <c r="R395" s="38" t="str">
        <f>_xlfn.IFNA(VLOOKUP(E395,'Pre-Booked Holidays'!A:B,2,0),"")</f>
        <v/>
      </c>
      <c r="S395" s="38" t="str">
        <f>IF(E395="","",IF(IFERROR(VLOOKUP(E395,'Onbase Report'!D:E,2,0),"")&lt;&gt;"","Details in Onbase","No Details"))</f>
        <v/>
      </c>
      <c r="T395" s="38" t="str">
        <f>IF(LEFT('Salesforce Dump'!Q392,5)="BHX10",LEFT('Salesforce Dump'!Q392,5),LEFT('Salesforce Dump'!Q392,4))</f>
        <v/>
      </c>
      <c r="U395" s="38"/>
    </row>
    <row r="396" spans="1:21" ht="14.5" x14ac:dyDescent="0.35">
      <c r="A396" s="47" t="str">
        <f>IF('Salesforce Dump'!A393&lt;&gt;"",'Salesforce Dump'!A393,"")</f>
        <v/>
      </c>
      <c r="B396" s="48"/>
      <c r="C396" s="49" t="str">
        <f>IF('Salesforce Dump'!B393&lt;&gt;"",'Salesforce Dump'!B393,"")</f>
        <v/>
      </c>
      <c r="D396" s="48"/>
      <c r="E396" s="50" t="str">
        <f>IF('Salesforce Dump'!C393&lt;&gt;"",'Salesforce Dump'!C393,"")</f>
        <v/>
      </c>
      <c r="F396" s="49" t="str">
        <f>IF('Salesforce Dump'!D393&lt;&gt;"",'Salesforce Dump'!D393,"")</f>
        <v/>
      </c>
      <c r="G396" s="49" t="str">
        <f>IF('Salesforce Dump'!E393&lt;&gt;"",'Salesforce Dump'!E393,"")</f>
        <v/>
      </c>
      <c r="H396" s="49" t="str">
        <f>IF('Salesforce Dump'!G393&lt;&gt;"",'Salesforce Dump'!G393,"")</f>
        <v/>
      </c>
      <c r="I396" s="49" t="str">
        <f>IF('Salesforce Dump'!H393&lt;&gt;"",'Salesforce Dump'!H393,"")</f>
        <v/>
      </c>
      <c r="J396" s="51" t="str">
        <f>IF('Salesforce Dump'!I393&lt;&gt;"",'Salesforce Dump'!I393,"")</f>
        <v/>
      </c>
      <c r="K396" s="51" t="str">
        <f>IF('Salesforce Dump'!J393&lt;&gt;"",'Salesforce Dump'!J393,"")</f>
        <v/>
      </c>
      <c r="L396" s="52" t="str">
        <f>IFERROR(INDEX('OBA Dump'!C:C,MATCH($E396*1,'OBA Dump'!$A:$A,0)),"")</f>
        <v/>
      </c>
      <c r="M396" s="52" t="str">
        <f>IFERROR(INDEX('OBA Dump'!D:D,MATCH($E396*1,'OBA Dump'!$A:$A,0)),"")</f>
        <v/>
      </c>
      <c r="N396" s="52"/>
      <c r="O396" s="52"/>
      <c r="P396" s="53"/>
      <c r="Q396" s="52"/>
      <c r="R396" s="38" t="str">
        <f>_xlfn.IFNA(VLOOKUP(E396,'Pre-Booked Holidays'!A:B,2,0),"")</f>
        <v/>
      </c>
      <c r="S396" s="38" t="str">
        <f>IF(E396="","",IF(IFERROR(VLOOKUP(E396,'Onbase Report'!D:E,2,0),"")&lt;&gt;"","Details in Onbase","No Details"))</f>
        <v/>
      </c>
      <c r="T396" s="38" t="str">
        <f>IF(LEFT('Salesforce Dump'!Q393,5)="BHX10",LEFT('Salesforce Dump'!Q393,5),LEFT('Salesforce Dump'!Q393,4))</f>
        <v/>
      </c>
      <c r="U396" s="38"/>
    </row>
    <row r="397" spans="1:21" ht="14.5" x14ac:dyDescent="0.35">
      <c r="A397" s="47" t="str">
        <f>IF('Salesforce Dump'!A394&lt;&gt;"",'Salesforce Dump'!A394,"")</f>
        <v/>
      </c>
      <c r="B397" s="48"/>
      <c r="C397" s="49" t="str">
        <f>IF('Salesforce Dump'!B394&lt;&gt;"",'Salesforce Dump'!B394,"")</f>
        <v/>
      </c>
      <c r="D397" s="48"/>
      <c r="E397" s="50" t="str">
        <f>IF('Salesforce Dump'!C394&lt;&gt;"",'Salesforce Dump'!C394,"")</f>
        <v/>
      </c>
      <c r="F397" s="49" t="str">
        <f>IF('Salesforce Dump'!D394&lt;&gt;"",'Salesforce Dump'!D394,"")</f>
        <v/>
      </c>
      <c r="G397" s="49" t="str">
        <f>IF('Salesforce Dump'!E394&lt;&gt;"",'Salesforce Dump'!E394,"")</f>
        <v/>
      </c>
      <c r="H397" s="49" t="str">
        <f>IF('Salesforce Dump'!G394&lt;&gt;"",'Salesforce Dump'!G394,"")</f>
        <v/>
      </c>
      <c r="I397" s="49" t="str">
        <f>IF('Salesforce Dump'!H394&lt;&gt;"",'Salesforce Dump'!H394,"")</f>
        <v/>
      </c>
      <c r="J397" s="51" t="str">
        <f>IF('Salesforce Dump'!I394&lt;&gt;"",'Salesforce Dump'!I394,"")</f>
        <v/>
      </c>
      <c r="K397" s="51" t="str">
        <f>IF('Salesforce Dump'!J394&lt;&gt;"",'Salesforce Dump'!J394,"")</f>
        <v/>
      </c>
      <c r="L397" s="52" t="str">
        <f>IFERROR(INDEX('OBA Dump'!C:C,MATCH($E397*1,'OBA Dump'!$A:$A,0)),"")</f>
        <v/>
      </c>
      <c r="M397" s="52" t="str">
        <f>IFERROR(INDEX('OBA Dump'!D:D,MATCH($E397*1,'OBA Dump'!$A:$A,0)),"")</f>
        <v/>
      </c>
      <c r="N397" s="52"/>
      <c r="O397" s="52"/>
      <c r="P397" s="53"/>
      <c r="Q397" s="52"/>
      <c r="R397" s="38" t="str">
        <f>_xlfn.IFNA(VLOOKUP(E397,'Pre-Booked Holidays'!A:B,2,0),"")</f>
        <v/>
      </c>
      <c r="S397" s="38" t="str">
        <f>IF(E397="","",IF(IFERROR(VLOOKUP(E397,'Onbase Report'!D:E,2,0),"")&lt;&gt;"","Details in Onbase","No Details"))</f>
        <v/>
      </c>
      <c r="T397" s="38" t="str">
        <f>IF(LEFT('Salesforce Dump'!Q394,5)="BHX10",LEFT('Salesforce Dump'!Q394,5),LEFT('Salesforce Dump'!Q394,4))</f>
        <v/>
      </c>
      <c r="U397" s="38"/>
    </row>
    <row r="398" spans="1:21" ht="14.5" x14ac:dyDescent="0.35">
      <c r="A398" s="47" t="str">
        <f>IF('Salesforce Dump'!A395&lt;&gt;"",'Salesforce Dump'!A395,"")</f>
        <v/>
      </c>
      <c r="B398" s="48"/>
      <c r="C398" s="49" t="str">
        <f>IF('Salesforce Dump'!B395&lt;&gt;"",'Salesforce Dump'!B395,"")</f>
        <v/>
      </c>
      <c r="D398" s="48"/>
      <c r="E398" s="50" t="str">
        <f>IF('Salesforce Dump'!C395&lt;&gt;"",'Salesforce Dump'!C395,"")</f>
        <v/>
      </c>
      <c r="F398" s="49" t="str">
        <f>IF('Salesforce Dump'!D395&lt;&gt;"",'Salesforce Dump'!D395,"")</f>
        <v/>
      </c>
      <c r="G398" s="49" t="str">
        <f>IF('Salesforce Dump'!E395&lt;&gt;"",'Salesforce Dump'!E395,"")</f>
        <v/>
      </c>
      <c r="H398" s="49" t="str">
        <f>IF('Salesforce Dump'!G395&lt;&gt;"",'Salesforce Dump'!G395,"")</f>
        <v/>
      </c>
      <c r="I398" s="49" t="str">
        <f>IF('Salesforce Dump'!H395&lt;&gt;"",'Salesforce Dump'!H395,"")</f>
        <v/>
      </c>
      <c r="J398" s="51" t="str">
        <f>IF('Salesforce Dump'!I395&lt;&gt;"",'Salesforce Dump'!I395,"")</f>
        <v/>
      </c>
      <c r="K398" s="51" t="str">
        <f>IF('Salesforce Dump'!J395&lt;&gt;"",'Salesforce Dump'!J395,"")</f>
        <v/>
      </c>
      <c r="L398" s="52" t="str">
        <f>IFERROR(INDEX('OBA Dump'!C:C,MATCH($E398*1,'OBA Dump'!$A:$A,0)),"")</f>
        <v/>
      </c>
      <c r="M398" s="52" t="str">
        <f>IFERROR(INDEX('OBA Dump'!D:D,MATCH($E398*1,'OBA Dump'!$A:$A,0)),"")</f>
        <v/>
      </c>
      <c r="N398" s="52"/>
      <c r="O398" s="52"/>
      <c r="P398" s="53"/>
      <c r="Q398" s="52"/>
      <c r="R398" s="38" t="str">
        <f>_xlfn.IFNA(VLOOKUP(E398,'Pre-Booked Holidays'!A:B,2,0),"")</f>
        <v/>
      </c>
      <c r="S398" s="38" t="str">
        <f>IF(E398="","",IF(IFERROR(VLOOKUP(E398,'Onbase Report'!D:E,2,0),"")&lt;&gt;"","Details in Onbase","No Details"))</f>
        <v/>
      </c>
      <c r="T398" s="38" t="str">
        <f>IF(LEFT('Salesforce Dump'!Q395,5)="BHX10",LEFT('Salesforce Dump'!Q395,5),LEFT('Salesforce Dump'!Q395,4))</f>
        <v/>
      </c>
      <c r="U398" s="38"/>
    </row>
    <row r="399" spans="1:21" ht="14.5" x14ac:dyDescent="0.35">
      <c r="A399" s="47" t="str">
        <f>IF('Salesforce Dump'!A396&lt;&gt;"",'Salesforce Dump'!A396,"")</f>
        <v/>
      </c>
      <c r="B399" s="48"/>
      <c r="C399" s="49" t="str">
        <f>IF('Salesforce Dump'!B396&lt;&gt;"",'Salesforce Dump'!B396,"")</f>
        <v/>
      </c>
      <c r="D399" s="48"/>
      <c r="E399" s="50" t="str">
        <f>IF('Salesforce Dump'!C396&lt;&gt;"",'Salesforce Dump'!C396,"")</f>
        <v/>
      </c>
      <c r="F399" s="49" t="str">
        <f>IF('Salesforce Dump'!D396&lt;&gt;"",'Salesforce Dump'!D396,"")</f>
        <v/>
      </c>
      <c r="G399" s="49" t="str">
        <f>IF('Salesforce Dump'!E396&lt;&gt;"",'Salesforce Dump'!E396,"")</f>
        <v/>
      </c>
      <c r="H399" s="49" t="str">
        <f>IF('Salesforce Dump'!G396&lt;&gt;"",'Salesforce Dump'!G396,"")</f>
        <v/>
      </c>
      <c r="I399" s="49" t="str">
        <f>IF('Salesforce Dump'!H396&lt;&gt;"",'Salesforce Dump'!H396,"")</f>
        <v/>
      </c>
      <c r="J399" s="51" t="str">
        <f>IF('Salesforce Dump'!I396&lt;&gt;"",'Salesforce Dump'!I396,"")</f>
        <v/>
      </c>
      <c r="K399" s="51" t="str">
        <f>IF('Salesforce Dump'!J396&lt;&gt;"",'Salesforce Dump'!J396,"")</f>
        <v/>
      </c>
      <c r="L399" s="52" t="str">
        <f>IFERROR(INDEX('OBA Dump'!C:C,MATCH($E399*1,'OBA Dump'!$A:$A,0)),"")</f>
        <v/>
      </c>
      <c r="M399" s="52" t="str">
        <f>IFERROR(INDEX('OBA Dump'!D:D,MATCH($E399*1,'OBA Dump'!$A:$A,0)),"")</f>
        <v/>
      </c>
      <c r="N399" s="52"/>
      <c r="O399" s="52"/>
      <c r="P399" s="53"/>
      <c r="Q399" s="52"/>
      <c r="R399" s="38" t="str">
        <f>_xlfn.IFNA(VLOOKUP(E399,'Pre-Booked Holidays'!A:B,2,0),"")</f>
        <v/>
      </c>
      <c r="S399" s="38" t="str">
        <f>IF(E399="","",IF(IFERROR(VLOOKUP(E399,'Onbase Report'!D:E,2,0),"")&lt;&gt;"","Details in Onbase","No Details"))</f>
        <v/>
      </c>
      <c r="T399" s="38" t="str">
        <f>IF(LEFT('Salesforce Dump'!Q396,5)="BHX10",LEFT('Salesforce Dump'!Q396,5),LEFT('Salesforce Dump'!Q396,4))</f>
        <v/>
      </c>
      <c r="U399" s="38"/>
    </row>
    <row r="400" spans="1:21" ht="14.5" x14ac:dyDescent="0.35">
      <c r="A400" s="47" t="str">
        <f>IF('Salesforce Dump'!A397&lt;&gt;"",'Salesforce Dump'!A397,"")</f>
        <v/>
      </c>
      <c r="B400" s="48"/>
      <c r="C400" s="49" t="str">
        <f>IF('Salesforce Dump'!B397&lt;&gt;"",'Salesforce Dump'!B397,"")</f>
        <v/>
      </c>
      <c r="D400" s="48"/>
      <c r="E400" s="50" t="str">
        <f>IF('Salesforce Dump'!C397&lt;&gt;"",'Salesforce Dump'!C397,"")</f>
        <v/>
      </c>
      <c r="F400" s="49" t="str">
        <f>IF('Salesforce Dump'!D397&lt;&gt;"",'Salesforce Dump'!D397,"")</f>
        <v/>
      </c>
      <c r="G400" s="49" t="str">
        <f>IF('Salesforce Dump'!E397&lt;&gt;"",'Salesforce Dump'!E397,"")</f>
        <v/>
      </c>
      <c r="H400" s="49" t="str">
        <f>IF('Salesforce Dump'!G397&lt;&gt;"",'Salesforce Dump'!G397,"")</f>
        <v/>
      </c>
      <c r="I400" s="49" t="str">
        <f>IF('Salesforce Dump'!H397&lt;&gt;"",'Salesforce Dump'!H397,"")</f>
        <v/>
      </c>
      <c r="J400" s="51" t="str">
        <f>IF('Salesforce Dump'!I397&lt;&gt;"",'Salesforce Dump'!I397,"")</f>
        <v/>
      </c>
      <c r="K400" s="51" t="str">
        <f>IF('Salesforce Dump'!J397&lt;&gt;"",'Salesforce Dump'!J397,"")</f>
        <v/>
      </c>
      <c r="L400" s="52" t="str">
        <f>IFERROR(INDEX('OBA Dump'!C:C,MATCH($E400*1,'OBA Dump'!$A:$A,0)),"")</f>
        <v/>
      </c>
      <c r="M400" s="52" t="str">
        <f>IFERROR(INDEX('OBA Dump'!D:D,MATCH($E400*1,'OBA Dump'!$A:$A,0)),"")</f>
        <v/>
      </c>
      <c r="N400" s="52"/>
      <c r="O400" s="52"/>
      <c r="P400" s="53"/>
      <c r="Q400" s="52"/>
      <c r="R400" s="38" t="str">
        <f>_xlfn.IFNA(VLOOKUP(E400,'Pre-Booked Holidays'!A:B,2,0),"")</f>
        <v/>
      </c>
      <c r="S400" s="38" t="str">
        <f>IF(E400="","",IF(IFERROR(VLOOKUP(E400,'Onbase Report'!D:E,2,0),"")&lt;&gt;"","Details in Onbase","No Details"))</f>
        <v/>
      </c>
      <c r="T400" s="38" t="str">
        <f>IF(LEFT('Salesforce Dump'!Q397,5)="BHX10",LEFT('Salesforce Dump'!Q397,5),LEFT('Salesforce Dump'!Q397,4))</f>
        <v/>
      </c>
      <c r="U400" s="38"/>
    </row>
    <row r="401" spans="1:21" ht="14.5" x14ac:dyDescent="0.35">
      <c r="A401" s="47" t="str">
        <f>IF('Salesforce Dump'!A398&lt;&gt;"",'Salesforce Dump'!A398,"")</f>
        <v/>
      </c>
      <c r="B401" s="48"/>
      <c r="C401" s="49" t="str">
        <f>IF('Salesforce Dump'!B398&lt;&gt;"",'Salesforce Dump'!B398,"")</f>
        <v/>
      </c>
      <c r="D401" s="48"/>
      <c r="E401" s="50" t="str">
        <f>IF('Salesforce Dump'!C398&lt;&gt;"",'Salesforce Dump'!C398,"")</f>
        <v/>
      </c>
      <c r="F401" s="49" t="str">
        <f>IF('Salesforce Dump'!D398&lt;&gt;"",'Salesforce Dump'!D398,"")</f>
        <v/>
      </c>
      <c r="G401" s="49" t="str">
        <f>IF('Salesforce Dump'!E398&lt;&gt;"",'Salesforce Dump'!E398,"")</f>
        <v/>
      </c>
      <c r="H401" s="49" t="str">
        <f>IF('Salesforce Dump'!G398&lt;&gt;"",'Salesforce Dump'!G398,"")</f>
        <v/>
      </c>
      <c r="I401" s="49" t="str">
        <f>IF('Salesforce Dump'!H398&lt;&gt;"",'Salesforce Dump'!H398,"")</f>
        <v/>
      </c>
      <c r="J401" s="51" t="str">
        <f>IF('Salesforce Dump'!I398&lt;&gt;"",'Salesforce Dump'!I398,"")</f>
        <v/>
      </c>
      <c r="K401" s="51" t="str">
        <f>IF('Salesforce Dump'!J398&lt;&gt;"",'Salesforce Dump'!J398,"")</f>
        <v/>
      </c>
      <c r="L401" s="52" t="str">
        <f>IFERROR(INDEX('OBA Dump'!C:C,MATCH($E401*1,'OBA Dump'!$A:$A,0)),"")</f>
        <v/>
      </c>
      <c r="M401" s="52" t="str">
        <f>IFERROR(INDEX('OBA Dump'!D:D,MATCH($E401*1,'OBA Dump'!$A:$A,0)),"")</f>
        <v/>
      </c>
      <c r="N401" s="52"/>
      <c r="O401" s="52"/>
      <c r="P401" s="53"/>
      <c r="Q401" s="52"/>
      <c r="R401" s="38" t="str">
        <f>_xlfn.IFNA(VLOOKUP(E401,'Pre-Booked Holidays'!A:B,2,0),"")</f>
        <v/>
      </c>
      <c r="S401" s="38" t="str">
        <f>IF(E401="","",IF(IFERROR(VLOOKUP(E401,'Onbase Report'!D:E,2,0),"")&lt;&gt;"","Details in Onbase","No Details"))</f>
        <v/>
      </c>
      <c r="T401" s="38" t="str">
        <f>IF(LEFT('Salesforce Dump'!Q398,5)="BHX10",LEFT('Salesforce Dump'!Q398,5),LEFT('Salesforce Dump'!Q398,4))</f>
        <v/>
      </c>
      <c r="U401" s="38"/>
    </row>
    <row r="402" spans="1:21" ht="14.5" x14ac:dyDescent="0.35">
      <c r="A402" s="47" t="str">
        <f>IF('Salesforce Dump'!A399&lt;&gt;"",'Salesforce Dump'!A399,"")</f>
        <v/>
      </c>
      <c r="B402" s="48"/>
      <c r="C402" s="49" t="str">
        <f>IF('Salesforce Dump'!B399&lt;&gt;"",'Salesforce Dump'!B399,"")</f>
        <v/>
      </c>
      <c r="D402" s="48"/>
      <c r="E402" s="50" t="str">
        <f>IF('Salesforce Dump'!C399&lt;&gt;"",'Salesforce Dump'!C399,"")</f>
        <v/>
      </c>
      <c r="F402" s="49" t="str">
        <f>IF('Salesforce Dump'!D399&lt;&gt;"",'Salesforce Dump'!D399,"")</f>
        <v/>
      </c>
      <c r="G402" s="49" t="str">
        <f>IF('Salesforce Dump'!E399&lt;&gt;"",'Salesforce Dump'!E399,"")</f>
        <v/>
      </c>
      <c r="H402" s="49" t="str">
        <f>IF('Salesforce Dump'!G399&lt;&gt;"",'Salesforce Dump'!G399,"")</f>
        <v/>
      </c>
      <c r="I402" s="49" t="str">
        <f>IF('Salesforce Dump'!H399&lt;&gt;"",'Salesforce Dump'!H399,"")</f>
        <v/>
      </c>
      <c r="J402" s="51" t="str">
        <f>IF('Salesforce Dump'!I399&lt;&gt;"",'Salesforce Dump'!I399,"")</f>
        <v/>
      </c>
      <c r="K402" s="51" t="str">
        <f>IF('Salesforce Dump'!J399&lt;&gt;"",'Salesforce Dump'!J399,"")</f>
        <v/>
      </c>
      <c r="L402" s="52" t="str">
        <f>IFERROR(INDEX('OBA Dump'!C:C,MATCH($E402*1,'OBA Dump'!$A:$A,0)),"")</f>
        <v/>
      </c>
      <c r="M402" s="52" t="str">
        <f>IFERROR(INDEX('OBA Dump'!D:D,MATCH($E402*1,'OBA Dump'!$A:$A,0)),"")</f>
        <v/>
      </c>
      <c r="N402" s="52"/>
      <c r="O402" s="52"/>
      <c r="P402" s="53"/>
      <c r="Q402" s="52"/>
      <c r="R402" s="38" t="str">
        <f>_xlfn.IFNA(VLOOKUP(E402,'Pre-Booked Holidays'!A:B,2,0),"")</f>
        <v/>
      </c>
      <c r="S402" s="38" t="str">
        <f>IF(E402="","",IF(IFERROR(VLOOKUP(E402,'Onbase Report'!D:E,2,0),"")&lt;&gt;"","Details in Onbase","No Details"))</f>
        <v/>
      </c>
      <c r="T402" s="38" t="str">
        <f>IF(LEFT('Salesforce Dump'!Q399,5)="BHX10",LEFT('Salesforce Dump'!Q399,5),LEFT('Salesforce Dump'!Q399,4))</f>
        <v/>
      </c>
      <c r="U402" s="38"/>
    </row>
    <row r="403" spans="1:21" ht="14.5" x14ac:dyDescent="0.35">
      <c r="A403" s="47" t="str">
        <f>IF('Salesforce Dump'!A400&lt;&gt;"",'Salesforce Dump'!A400,"")</f>
        <v/>
      </c>
      <c r="B403" s="48"/>
      <c r="C403" s="49" t="str">
        <f>IF('Salesforce Dump'!B400&lt;&gt;"",'Salesforce Dump'!B400,"")</f>
        <v/>
      </c>
      <c r="D403" s="48"/>
      <c r="E403" s="50" t="str">
        <f>IF('Salesforce Dump'!C400&lt;&gt;"",'Salesforce Dump'!C400,"")</f>
        <v/>
      </c>
      <c r="F403" s="49" t="str">
        <f>IF('Salesforce Dump'!D400&lt;&gt;"",'Salesforce Dump'!D400,"")</f>
        <v/>
      </c>
      <c r="G403" s="49" t="str">
        <f>IF('Salesforce Dump'!E400&lt;&gt;"",'Salesforce Dump'!E400,"")</f>
        <v/>
      </c>
      <c r="H403" s="49" t="str">
        <f>IF('Salesforce Dump'!G400&lt;&gt;"",'Salesforce Dump'!G400,"")</f>
        <v/>
      </c>
      <c r="I403" s="49" t="str">
        <f>IF('Salesforce Dump'!H400&lt;&gt;"",'Salesforce Dump'!H400,"")</f>
        <v/>
      </c>
      <c r="J403" s="51" t="str">
        <f>IF('Salesforce Dump'!I400&lt;&gt;"",'Salesforce Dump'!I400,"")</f>
        <v/>
      </c>
      <c r="K403" s="51" t="str">
        <f>IF('Salesforce Dump'!J400&lt;&gt;"",'Salesforce Dump'!J400,"")</f>
        <v/>
      </c>
      <c r="L403" s="52" t="str">
        <f>IFERROR(INDEX('OBA Dump'!C:C,MATCH($E403*1,'OBA Dump'!$A:$A,0)),"")</f>
        <v/>
      </c>
      <c r="M403" s="52" t="str">
        <f>IFERROR(INDEX('OBA Dump'!D:D,MATCH($E403*1,'OBA Dump'!$A:$A,0)),"")</f>
        <v/>
      </c>
      <c r="N403" s="52"/>
      <c r="O403" s="52"/>
      <c r="P403" s="53"/>
      <c r="Q403" s="52"/>
      <c r="R403" s="38" t="str">
        <f>_xlfn.IFNA(VLOOKUP(E403,'Pre-Booked Holidays'!A:B,2,0),"")</f>
        <v/>
      </c>
      <c r="S403" s="38" t="str">
        <f>IF(E403="","",IF(IFERROR(VLOOKUP(E403,'Onbase Report'!D:E,2,0),"")&lt;&gt;"","Details in Onbase","No Details"))</f>
        <v/>
      </c>
      <c r="T403" s="38" t="str">
        <f>IF(LEFT('Salesforce Dump'!Q400,5)="BHX10",LEFT('Salesforce Dump'!Q400,5),LEFT('Salesforce Dump'!Q400,4))</f>
        <v/>
      </c>
      <c r="U403" s="38"/>
    </row>
    <row r="404" spans="1:21" ht="14.5" x14ac:dyDescent="0.35">
      <c r="A404" s="47" t="str">
        <f>IF('Salesforce Dump'!A401&lt;&gt;"",'Salesforce Dump'!A401,"")</f>
        <v/>
      </c>
      <c r="B404" s="48"/>
      <c r="C404" s="49" t="str">
        <f>IF('Salesforce Dump'!B401&lt;&gt;"",'Salesforce Dump'!B401,"")</f>
        <v/>
      </c>
      <c r="D404" s="48"/>
      <c r="E404" s="50" t="str">
        <f>IF('Salesforce Dump'!C401&lt;&gt;"",'Salesforce Dump'!C401,"")</f>
        <v/>
      </c>
      <c r="F404" s="49" t="str">
        <f>IF('Salesforce Dump'!D401&lt;&gt;"",'Salesforce Dump'!D401,"")</f>
        <v/>
      </c>
      <c r="G404" s="49" t="str">
        <f>IF('Salesforce Dump'!E401&lt;&gt;"",'Salesforce Dump'!E401,"")</f>
        <v/>
      </c>
      <c r="H404" s="49" t="str">
        <f>IF('Salesforce Dump'!G401&lt;&gt;"",'Salesforce Dump'!G401,"")</f>
        <v/>
      </c>
      <c r="I404" s="49" t="str">
        <f>IF('Salesforce Dump'!H401&lt;&gt;"",'Salesforce Dump'!H401,"")</f>
        <v/>
      </c>
      <c r="J404" s="51" t="str">
        <f>IF('Salesforce Dump'!I401&lt;&gt;"",'Salesforce Dump'!I401,"")</f>
        <v/>
      </c>
      <c r="K404" s="51" t="str">
        <f>IF('Salesforce Dump'!J401&lt;&gt;"",'Salesforce Dump'!J401,"")</f>
        <v/>
      </c>
      <c r="L404" s="52" t="str">
        <f>IFERROR(INDEX('OBA Dump'!C:C,MATCH($E404*1,'OBA Dump'!$A:$A,0)),"")</f>
        <v/>
      </c>
      <c r="M404" s="52" t="str">
        <f>IFERROR(INDEX('OBA Dump'!D:D,MATCH($E404*1,'OBA Dump'!$A:$A,0)),"")</f>
        <v/>
      </c>
      <c r="N404" s="52"/>
      <c r="O404" s="52"/>
      <c r="P404" s="53"/>
      <c r="Q404" s="52"/>
      <c r="R404" s="38" t="str">
        <f>_xlfn.IFNA(VLOOKUP(E404,'Pre-Booked Holidays'!A:B,2,0),"")</f>
        <v/>
      </c>
      <c r="S404" s="38" t="str">
        <f>IF(E404="","",IF(IFERROR(VLOOKUP(E404,'Onbase Report'!D:E,2,0),"")&lt;&gt;"","Details in Onbase","No Details"))</f>
        <v/>
      </c>
      <c r="T404" s="38" t="str">
        <f>IF(LEFT('Salesforce Dump'!Q401,5)="BHX10",LEFT('Salesforce Dump'!Q401,5),LEFT('Salesforce Dump'!Q401,4))</f>
        <v/>
      </c>
      <c r="U404" s="38"/>
    </row>
    <row r="405" spans="1:21" ht="14.5" x14ac:dyDescent="0.35">
      <c r="A405" s="47" t="str">
        <f>IF('Salesforce Dump'!A402&lt;&gt;"",'Salesforce Dump'!A402,"")</f>
        <v/>
      </c>
      <c r="B405" s="48"/>
      <c r="C405" s="49" t="str">
        <f>IF('Salesforce Dump'!B402&lt;&gt;"",'Salesforce Dump'!B402,"")</f>
        <v/>
      </c>
      <c r="D405" s="48"/>
      <c r="E405" s="50" t="str">
        <f>IF('Salesforce Dump'!C402&lt;&gt;"",'Salesforce Dump'!C402,"")</f>
        <v/>
      </c>
      <c r="F405" s="49" t="str">
        <f>IF('Salesforce Dump'!D402&lt;&gt;"",'Salesforce Dump'!D402,"")</f>
        <v/>
      </c>
      <c r="G405" s="49" t="str">
        <f>IF('Salesforce Dump'!E402&lt;&gt;"",'Salesforce Dump'!E402,"")</f>
        <v/>
      </c>
      <c r="H405" s="49" t="str">
        <f>IF('Salesforce Dump'!G402&lt;&gt;"",'Salesforce Dump'!G402,"")</f>
        <v/>
      </c>
      <c r="I405" s="49" t="str">
        <f>IF('Salesforce Dump'!H402&lt;&gt;"",'Salesforce Dump'!H402,"")</f>
        <v/>
      </c>
      <c r="J405" s="51" t="str">
        <f>IF('Salesforce Dump'!I402&lt;&gt;"",'Salesforce Dump'!I402,"")</f>
        <v/>
      </c>
      <c r="K405" s="51" t="str">
        <f>IF('Salesforce Dump'!J402&lt;&gt;"",'Salesforce Dump'!J402,"")</f>
        <v/>
      </c>
      <c r="L405" s="52" t="str">
        <f>IFERROR(INDEX('OBA Dump'!C:C,MATCH($E405*1,'OBA Dump'!$A:$A,0)),"")</f>
        <v/>
      </c>
      <c r="M405" s="52" t="str">
        <f>IFERROR(INDEX('OBA Dump'!D:D,MATCH($E405*1,'OBA Dump'!$A:$A,0)),"")</f>
        <v/>
      </c>
      <c r="N405" s="52"/>
      <c r="O405" s="52"/>
      <c r="P405" s="53"/>
      <c r="Q405" s="52"/>
      <c r="R405" s="38" t="str">
        <f>_xlfn.IFNA(VLOOKUP(E405,'Pre-Booked Holidays'!A:B,2,0),"")</f>
        <v/>
      </c>
      <c r="S405" s="38" t="str">
        <f>IF(E405="","",IF(IFERROR(VLOOKUP(E405,'Onbase Report'!D:E,2,0),"")&lt;&gt;"","Details in Onbase","No Details"))</f>
        <v/>
      </c>
      <c r="T405" s="38" t="str">
        <f>IF(LEFT('Salesforce Dump'!Q402,5)="BHX10",LEFT('Salesforce Dump'!Q402,5),LEFT('Salesforce Dump'!Q402,4))</f>
        <v/>
      </c>
      <c r="U405" s="38"/>
    </row>
    <row r="406" spans="1:21" ht="14.5" x14ac:dyDescent="0.35">
      <c r="A406" s="47" t="str">
        <f>IF('Salesforce Dump'!A403&lt;&gt;"",'Salesforce Dump'!A403,"")</f>
        <v/>
      </c>
      <c r="B406" s="48"/>
      <c r="C406" s="49" t="str">
        <f>IF('Salesforce Dump'!B403&lt;&gt;"",'Salesforce Dump'!B403,"")</f>
        <v/>
      </c>
      <c r="D406" s="48"/>
      <c r="E406" s="50" t="str">
        <f>IF('Salesforce Dump'!C403&lt;&gt;"",'Salesforce Dump'!C403,"")</f>
        <v/>
      </c>
      <c r="F406" s="49" t="str">
        <f>IF('Salesforce Dump'!D403&lt;&gt;"",'Salesforce Dump'!D403,"")</f>
        <v/>
      </c>
      <c r="G406" s="49" t="str">
        <f>IF('Salesforce Dump'!E403&lt;&gt;"",'Salesforce Dump'!E403,"")</f>
        <v/>
      </c>
      <c r="H406" s="49" t="str">
        <f>IF('Salesforce Dump'!G403&lt;&gt;"",'Salesforce Dump'!G403,"")</f>
        <v/>
      </c>
      <c r="I406" s="49" t="str">
        <f>IF('Salesforce Dump'!H403&lt;&gt;"",'Salesforce Dump'!H403,"")</f>
        <v/>
      </c>
      <c r="J406" s="51" t="str">
        <f>IF('Salesforce Dump'!I403&lt;&gt;"",'Salesforce Dump'!I403,"")</f>
        <v/>
      </c>
      <c r="K406" s="51" t="str">
        <f>IF('Salesforce Dump'!J403&lt;&gt;"",'Salesforce Dump'!J403,"")</f>
        <v/>
      </c>
      <c r="L406" s="52" t="str">
        <f>IFERROR(INDEX('OBA Dump'!C:C,MATCH($E406*1,'OBA Dump'!$A:$A,0)),"")</f>
        <v/>
      </c>
      <c r="M406" s="52" t="str">
        <f>IFERROR(INDEX('OBA Dump'!D:D,MATCH($E406*1,'OBA Dump'!$A:$A,0)),"")</f>
        <v/>
      </c>
      <c r="N406" s="52"/>
      <c r="O406" s="52"/>
      <c r="P406" s="53"/>
      <c r="Q406" s="52"/>
      <c r="R406" s="38" t="str">
        <f>_xlfn.IFNA(VLOOKUP(E406,'Pre-Booked Holidays'!A:B,2,0),"")</f>
        <v/>
      </c>
      <c r="S406" s="38" t="str">
        <f>IF(E406="","",IF(IFERROR(VLOOKUP(E406,'Onbase Report'!D:E,2,0),"")&lt;&gt;"","Details in Onbase","No Details"))</f>
        <v/>
      </c>
      <c r="T406" s="38" t="str">
        <f>IF(LEFT('Salesforce Dump'!Q403,5)="BHX10",LEFT('Salesforce Dump'!Q403,5),LEFT('Salesforce Dump'!Q403,4))</f>
        <v/>
      </c>
      <c r="U406" s="38"/>
    </row>
    <row r="407" spans="1:21" ht="14.5" x14ac:dyDescent="0.35">
      <c r="A407" s="47" t="str">
        <f>IF('Salesforce Dump'!A404&lt;&gt;"",'Salesforce Dump'!A404,"")</f>
        <v/>
      </c>
      <c r="B407" s="48"/>
      <c r="C407" s="49" t="str">
        <f>IF('Salesforce Dump'!B404&lt;&gt;"",'Salesforce Dump'!B404,"")</f>
        <v/>
      </c>
      <c r="D407" s="48"/>
      <c r="E407" s="50" t="str">
        <f>IF('Salesforce Dump'!C404&lt;&gt;"",'Salesforce Dump'!C404,"")</f>
        <v/>
      </c>
      <c r="F407" s="49" t="str">
        <f>IF('Salesforce Dump'!D404&lt;&gt;"",'Salesforce Dump'!D404,"")</f>
        <v/>
      </c>
      <c r="G407" s="49" t="str">
        <f>IF('Salesforce Dump'!E404&lt;&gt;"",'Salesforce Dump'!E404,"")</f>
        <v/>
      </c>
      <c r="H407" s="49" t="str">
        <f>IF('Salesforce Dump'!G404&lt;&gt;"",'Salesforce Dump'!G404,"")</f>
        <v/>
      </c>
      <c r="I407" s="49" t="str">
        <f>IF('Salesforce Dump'!H404&lt;&gt;"",'Salesforce Dump'!H404,"")</f>
        <v/>
      </c>
      <c r="J407" s="51" t="str">
        <f>IF('Salesforce Dump'!I404&lt;&gt;"",'Salesforce Dump'!I404,"")</f>
        <v/>
      </c>
      <c r="K407" s="51" t="str">
        <f>IF('Salesforce Dump'!J404&lt;&gt;"",'Salesforce Dump'!J404,"")</f>
        <v/>
      </c>
      <c r="L407" s="52" t="str">
        <f>IFERROR(INDEX('OBA Dump'!C:C,MATCH($E407*1,'OBA Dump'!$A:$A,0)),"")</f>
        <v/>
      </c>
      <c r="M407" s="52" t="str">
        <f>IFERROR(INDEX('OBA Dump'!D:D,MATCH($E407*1,'OBA Dump'!$A:$A,0)),"")</f>
        <v/>
      </c>
      <c r="N407" s="52"/>
      <c r="O407" s="52"/>
      <c r="P407" s="53"/>
      <c r="Q407" s="52"/>
      <c r="R407" s="38" t="str">
        <f>_xlfn.IFNA(VLOOKUP(E407,'Pre-Booked Holidays'!A:B,2,0),"")</f>
        <v/>
      </c>
      <c r="S407" s="38" t="str">
        <f>IF(E407="","",IF(IFERROR(VLOOKUP(E407,'Onbase Report'!D:E,2,0),"")&lt;&gt;"","Details in Onbase","No Details"))</f>
        <v/>
      </c>
      <c r="T407" s="38" t="str">
        <f>IF(LEFT('Salesforce Dump'!Q404,5)="BHX10",LEFT('Salesforce Dump'!Q404,5),LEFT('Salesforce Dump'!Q404,4))</f>
        <v/>
      </c>
      <c r="U407" s="38"/>
    </row>
    <row r="408" spans="1:21" ht="14.5" x14ac:dyDescent="0.35">
      <c r="A408" s="47" t="str">
        <f>IF('Salesforce Dump'!A405&lt;&gt;"",'Salesforce Dump'!A405,"")</f>
        <v/>
      </c>
      <c r="B408" s="48"/>
      <c r="C408" s="49" t="str">
        <f>IF('Salesforce Dump'!B405&lt;&gt;"",'Salesforce Dump'!B405,"")</f>
        <v/>
      </c>
      <c r="D408" s="48"/>
      <c r="E408" s="50" t="str">
        <f>IF('Salesforce Dump'!C405&lt;&gt;"",'Salesforce Dump'!C405,"")</f>
        <v/>
      </c>
      <c r="F408" s="49" t="str">
        <f>IF('Salesforce Dump'!D405&lt;&gt;"",'Salesforce Dump'!D405,"")</f>
        <v/>
      </c>
      <c r="G408" s="49" t="str">
        <f>IF('Salesforce Dump'!E405&lt;&gt;"",'Salesforce Dump'!E405,"")</f>
        <v/>
      </c>
      <c r="H408" s="49" t="str">
        <f>IF('Salesforce Dump'!G405&lt;&gt;"",'Salesforce Dump'!G405,"")</f>
        <v/>
      </c>
      <c r="I408" s="49" t="str">
        <f>IF('Salesforce Dump'!H405&lt;&gt;"",'Salesforce Dump'!H405,"")</f>
        <v/>
      </c>
      <c r="J408" s="51" t="str">
        <f>IF('Salesforce Dump'!I405&lt;&gt;"",'Salesforce Dump'!I405,"")</f>
        <v/>
      </c>
      <c r="K408" s="51" t="str">
        <f>IF('Salesforce Dump'!J405&lt;&gt;"",'Salesforce Dump'!J405,"")</f>
        <v/>
      </c>
      <c r="L408" s="52" t="str">
        <f>IFERROR(INDEX('OBA Dump'!C:C,MATCH($E408*1,'OBA Dump'!$A:$A,0)),"")</f>
        <v/>
      </c>
      <c r="M408" s="52" t="str">
        <f>IFERROR(INDEX('OBA Dump'!D:D,MATCH($E408*1,'OBA Dump'!$A:$A,0)),"")</f>
        <v/>
      </c>
      <c r="N408" s="52"/>
      <c r="O408" s="52"/>
      <c r="P408" s="53"/>
      <c r="Q408" s="52"/>
      <c r="R408" s="38" t="str">
        <f>_xlfn.IFNA(VLOOKUP(E408,'Pre-Booked Holidays'!A:B,2,0),"")</f>
        <v/>
      </c>
      <c r="S408" s="38" t="str">
        <f>IF(E408="","",IF(IFERROR(VLOOKUP(E408,'Onbase Report'!D:E,2,0),"")&lt;&gt;"","Details in Onbase","No Details"))</f>
        <v/>
      </c>
      <c r="T408" s="38" t="str">
        <f>IF(LEFT('Salesforce Dump'!Q405,5)="BHX10",LEFT('Salesforce Dump'!Q405,5),LEFT('Salesforce Dump'!Q405,4))</f>
        <v/>
      </c>
      <c r="U408" s="38"/>
    </row>
    <row r="409" spans="1:21" ht="14.5" x14ac:dyDescent="0.35">
      <c r="A409" s="47" t="str">
        <f>IF('Salesforce Dump'!A406&lt;&gt;"",'Salesforce Dump'!A406,"")</f>
        <v/>
      </c>
      <c r="B409" s="48"/>
      <c r="C409" s="49" t="str">
        <f>IF('Salesforce Dump'!B406&lt;&gt;"",'Salesforce Dump'!B406,"")</f>
        <v/>
      </c>
      <c r="D409" s="48"/>
      <c r="E409" s="50" t="str">
        <f>IF('Salesforce Dump'!C406&lt;&gt;"",'Salesforce Dump'!C406,"")</f>
        <v/>
      </c>
      <c r="F409" s="49" t="str">
        <f>IF('Salesforce Dump'!D406&lt;&gt;"",'Salesforce Dump'!D406,"")</f>
        <v/>
      </c>
      <c r="G409" s="49" t="str">
        <f>IF('Salesforce Dump'!E406&lt;&gt;"",'Salesforce Dump'!E406,"")</f>
        <v/>
      </c>
      <c r="H409" s="49" t="str">
        <f>IF('Salesforce Dump'!G406&lt;&gt;"",'Salesforce Dump'!G406,"")</f>
        <v/>
      </c>
      <c r="I409" s="49" t="str">
        <f>IF('Salesforce Dump'!H406&lt;&gt;"",'Salesforce Dump'!H406,"")</f>
        <v/>
      </c>
      <c r="J409" s="51" t="str">
        <f>IF('Salesforce Dump'!I406&lt;&gt;"",'Salesforce Dump'!I406,"")</f>
        <v/>
      </c>
      <c r="K409" s="51" t="str">
        <f>IF('Salesforce Dump'!J406&lt;&gt;"",'Salesforce Dump'!J406,"")</f>
        <v/>
      </c>
      <c r="L409" s="52" t="str">
        <f>IFERROR(INDEX('OBA Dump'!C:C,MATCH($E409*1,'OBA Dump'!$A:$A,0)),"")</f>
        <v/>
      </c>
      <c r="M409" s="52" t="str">
        <f>IFERROR(INDEX('OBA Dump'!D:D,MATCH($E409*1,'OBA Dump'!$A:$A,0)),"")</f>
        <v/>
      </c>
      <c r="N409" s="52"/>
      <c r="O409" s="52"/>
      <c r="P409" s="53"/>
      <c r="Q409" s="52"/>
      <c r="R409" s="38" t="str">
        <f>_xlfn.IFNA(VLOOKUP(E409,'Pre-Booked Holidays'!A:B,2,0),"")</f>
        <v/>
      </c>
      <c r="S409" s="38" t="str">
        <f>IF(E409="","",IF(IFERROR(VLOOKUP(E409,'Onbase Report'!D:E,2,0),"")&lt;&gt;"","Details in Onbase","No Details"))</f>
        <v/>
      </c>
      <c r="T409" s="38" t="str">
        <f>IF(LEFT('Salesforce Dump'!Q406,5)="BHX10",LEFT('Salesforce Dump'!Q406,5),LEFT('Salesforce Dump'!Q406,4))</f>
        <v/>
      </c>
      <c r="U409" s="38"/>
    </row>
    <row r="410" spans="1:21" ht="14.5" x14ac:dyDescent="0.35">
      <c r="A410" s="47" t="str">
        <f>IF('Salesforce Dump'!A407&lt;&gt;"",'Salesforce Dump'!A407,"")</f>
        <v/>
      </c>
      <c r="B410" s="48"/>
      <c r="C410" s="49" t="str">
        <f>IF('Salesforce Dump'!B407&lt;&gt;"",'Salesforce Dump'!B407,"")</f>
        <v/>
      </c>
      <c r="D410" s="48"/>
      <c r="E410" s="50" t="str">
        <f>IF('Salesforce Dump'!C407&lt;&gt;"",'Salesforce Dump'!C407,"")</f>
        <v/>
      </c>
      <c r="F410" s="49" t="str">
        <f>IF('Salesforce Dump'!D407&lt;&gt;"",'Salesforce Dump'!D407,"")</f>
        <v/>
      </c>
      <c r="G410" s="49" t="str">
        <f>IF('Salesforce Dump'!E407&lt;&gt;"",'Salesforce Dump'!E407,"")</f>
        <v/>
      </c>
      <c r="H410" s="49" t="str">
        <f>IF('Salesforce Dump'!G407&lt;&gt;"",'Salesforce Dump'!G407,"")</f>
        <v/>
      </c>
      <c r="I410" s="49" t="str">
        <f>IF('Salesforce Dump'!H407&lt;&gt;"",'Salesforce Dump'!H407,"")</f>
        <v/>
      </c>
      <c r="J410" s="51" t="str">
        <f>IF('Salesforce Dump'!I407&lt;&gt;"",'Salesforce Dump'!I407,"")</f>
        <v/>
      </c>
      <c r="K410" s="51" t="str">
        <f>IF('Salesforce Dump'!J407&lt;&gt;"",'Salesforce Dump'!J407,"")</f>
        <v/>
      </c>
      <c r="L410" s="52" t="str">
        <f>IFERROR(INDEX('OBA Dump'!C:C,MATCH($E410*1,'OBA Dump'!$A:$A,0)),"")</f>
        <v/>
      </c>
      <c r="M410" s="52" t="str">
        <f>IFERROR(INDEX('OBA Dump'!D:D,MATCH($E410*1,'OBA Dump'!$A:$A,0)),"")</f>
        <v/>
      </c>
      <c r="N410" s="52"/>
      <c r="O410" s="52"/>
      <c r="P410" s="53"/>
      <c r="Q410" s="52"/>
      <c r="R410" s="38" t="str">
        <f>_xlfn.IFNA(VLOOKUP(E410,'Pre-Booked Holidays'!A:B,2,0),"")</f>
        <v/>
      </c>
      <c r="S410" s="38" t="str">
        <f>IF(E410="","",IF(IFERROR(VLOOKUP(E410,'Onbase Report'!D:E,2,0),"")&lt;&gt;"","Details in Onbase","No Details"))</f>
        <v/>
      </c>
      <c r="T410" s="38" t="str">
        <f>IF(LEFT('Salesforce Dump'!Q407,5)="BHX10",LEFT('Salesforce Dump'!Q407,5),LEFT('Salesforce Dump'!Q407,4))</f>
        <v/>
      </c>
      <c r="U410" s="38"/>
    </row>
    <row r="411" spans="1:21" ht="14.5" x14ac:dyDescent="0.35">
      <c r="A411" s="47" t="str">
        <f>IF('Salesforce Dump'!A408&lt;&gt;"",'Salesforce Dump'!A408,"")</f>
        <v/>
      </c>
      <c r="B411" s="48"/>
      <c r="C411" s="49" t="str">
        <f>IF('Salesforce Dump'!B408&lt;&gt;"",'Salesforce Dump'!B408,"")</f>
        <v/>
      </c>
      <c r="D411" s="48"/>
      <c r="E411" s="50" t="str">
        <f>IF('Salesforce Dump'!C408&lt;&gt;"",'Salesforce Dump'!C408,"")</f>
        <v/>
      </c>
      <c r="F411" s="49" t="str">
        <f>IF('Salesforce Dump'!D408&lt;&gt;"",'Salesforce Dump'!D408,"")</f>
        <v/>
      </c>
      <c r="G411" s="49" t="str">
        <f>IF('Salesforce Dump'!E408&lt;&gt;"",'Salesforce Dump'!E408,"")</f>
        <v/>
      </c>
      <c r="H411" s="49" t="str">
        <f>IF('Salesforce Dump'!G408&lt;&gt;"",'Salesforce Dump'!G408,"")</f>
        <v/>
      </c>
      <c r="I411" s="49" t="str">
        <f>IF('Salesforce Dump'!H408&lt;&gt;"",'Salesforce Dump'!H408,"")</f>
        <v/>
      </c>
      <c r="J411" s="51" t="str">
        <f>IF('Salesforce Dump'!I408&lt;&gt;"",'Salesforce Dump'!I408,"")</f>
        <v/>
      </c>
      <c r="K411" s="51" t="str">
        <f>IF('Salesforce Dump'!J408&lt;&gt;"",'Salesforce Dump'!J408,"")</f>
        <v/>
      </c>
      <c r="L411" s="52" t="str">
        <f>IFERROR(INDEX('OBA Dump'!C:C,MATCH($E411*1,'OBA Dump'!$A:$A,0)),"")</f>
        <v/>
      </c>
      <c r="M411" s="52" t="str">
        <f>IFERROR(INDEX('OBA Dump'!D:D,MATCH($E411*1,'OBA Dump'!$A:$A,0)),"")</f>
        <v/>
      </c>
      <c r="N411" s="52"/>
      <c r="O411" s="52"/>
      <c r="P411" s="53"/>
      <c r="Q411" s="52"/>
      <c r="R411" s="38" t="str">
        <f>_xlfn.IFNA(VLOOKUP(E411,'Pre-Booked Holidays'!A:B,2,0),"")</f>
        <v/>
      </c>
      <c r="S411" s="38" t="str">
        <f>IF(E411="","",IF(IFERROR(VLOOKUP(E411,'Onbase Report'!D:E,2,0),"")&lt;&gt;"","Details in Onbase","No Details"))</f>
        <v/>
      </c>
      <c r="T411" s="38" t="str">
        <f>IF(LEFT('Salesforce Dump'!Q408,5)="BHX10",LEFT('Salesforce Dump'!Q408,5),LEFT('Salesforce Dump'!Q408,4))</f>
        <v/>
      </c>
      <c r="U411" s="38"/>
    </row>
    <row r="412" spans="1:21" ht="14.5" x14ac:dyDescent="0.35">
      <c r="A412" s="47" t="str">
        <f>IF('Salesforce Dump'!A409&lt;&gt;"",'Salesforce Dump'!A409,"")</f>
        <v/>
      </c>
      <c r="B412" s="48"/>
      <c r="C412" s="49" t="str">
        <f>IF('Salesforce Dump'!B409&lt;&gt;"",'Salesforce Dump'!B409,"")</f>
        <v/>
      </c>
      <c r="D412" s="48"/>
      <c r="E412" s="50" t="str">
        <f>IF('Salesforce Dump'!C409&lt;&gt;"",'Salesforce Dump'!C409,"")</f>
        <v/>
      </c>
      <c r="F412" s="49" t="str">
        <f>IF('Salesforce Dump'!D409&lt;&gt;"",'Salesforce Dump'!D409,"")</f>
        <v/>
      </c>
      <c r="G412" s="49" t="str">
        <f>IF('Salesforce Dump'!E409&lt;&gt;"",'Salesforce Dump'!E409,"")</f>
        <v/>
      </c>
      <c r="H412" s="49" t="str">
        <f>IF('Salesforce Dump'!G409&lt;&gt;"",'Salesforce Dump'!G409,"")</f>
        <v/>
      </c>
      <c r="I412" s="49" t="str">
        <f>IF('Salesforce Dump'!H409&lt;&gt;"",'Salesforce Dump'!H409,"")</f>
        <v/>
      </c>
      <c r="J412" s="51" t="str">
        <f>IF('Salesforce Dump'!I409&lt;&gt;"",'Salesforce Dump'!I409,"")</f>
        <v/>
      </c>
      <c r="K412" s="51" t="str">
        <f>IF('Salesforce Dump'!J409&lt;&gt;"",'Salesforce Dump'!J409,"")</f>
        <v/>
      </c>
      <c r="L412" s="52" t="str">
        <f>IFERROR(INDEX('OBA Dump'!C:C,MATCH($E412*1,'OBA Dump'!$A:$A,0)),"")</f>
        <v/>
      </c>
      <c r="M412" s="52" t="str">
        <f>IFERROR(INDEX('OBA Dump'!D:D,MATCH($E412*1,'OBA Dump'!$A:$A,0)),"")</f>
        <v/>
      </c>
      <c r="N412" s="52"/>
      <c r="O412" s="52"/>
      <c r="P412" s="53"/>
      <c r="Q412" s="52"/>
      <c r="R412" s="38" t="str">
        <f>_xlfn.IFNA(VLOOKUP(E412,'Pre-Booked Holidays'!A:B,2,0),"")</f>
        <v/>
      </c>
      <c r="S412" s="38" t="str">
        <f>IF(E412="","",IF(IFERROR(VLOOKUP(E412,'Onbase Report'!D:E,2,0),"")&lt;&gt;"","Details in Onbase","No Details"))</f>
        <v/>
      </c>
      <c r="T412" s="38" t="str">
        <f>IF(LEFT('Salesforce Dump'!Q409,5)="BHX10",LEFT('Salesforce Dump'!Q409,5),LEFT('Salesforce Dump'!Q409,4))</f>
        <v/>
      </c>
      <c r="U412" s="38"/>
    </row>
    <row r="413" spans="1:21" ht="14.5" x14ac:dyDescent="0.35">
      <c r="A413" s="47" t="str">
        <f>IF('Salesforce Dump'!A410&lt;&gt;"",'Salesforce Dump'!A410,"")</f>
        <v/>
      </c>
      <c r="B413" s="48"/>
      <c r="C413" s="49" t="str">
        <f>IF('Salesforce Dump'!B410&lt;&gt;"",'Salesforce Dump'!B410,"")</f>
        <v/>
      </c>
      <c r="D413" s="48"/>
      <c r="E413" s="50" t="str">
        <f>IF('Salesforce Dump'!C410&lt;&gt;"",'Salesforce Dump'!C410,"")</f>
        <v/>
      </c>
      <c r="F413" s="49" t="str">
        <f>IF('Salesforce Dump'!D410&lt;&gt;"",'Salesforce Dump'!D410,"")</f>
        <v/>
      </c>
      <c r="G413" s="49" t="str">
        <f>IF('Salesforce Dump'!E410&lt;&gt;"",'Salesforce Dump'!E410,"")</f>
        <v/>
      </c>
      <c r="H413" s="49" t="str">
        <f>IF('Salesforce Dump'!G410&lt;&gt;"",'Salesforce Dump'!G410,"")</f>
        <v/>
      </c>
      <c r="I413" s="49" t="str">
        <f>IF('Salesforce Dump'!H410&lt;&gt;"",'Salesforce Dump'!H410,"")</f>
        <v/>
      </c>
      <c r="J413" s="51" t="str">
        <f>IF('Salesforce Dump'!I410&lt;&gt;"",'Salesforce Dump'!I410,"")</f>
        <v/>
      </c>
      <c r="K413" s="51" t="str">
        <f>IF('Salesforce Dump'!J410&lt;&gt;"",'Salesforce Dump'!J410,"")</f>
        <v/>
      </c>
      <c r="L413" s="52" t="str">
        <f>IFERROR(INDEX('OBA Dump'!C:C,MATCH($E413*1,'OBA Dump'!$A:$A,0)),"")</f>
        <v/>
      </c>
      <c r="M413" s="52" t="str">
        <f>IFERROR(INDEX('OBA Dump'!D:D,MATCH($E413*1,'OBA Dump'!$A:$A,0)),"")</f>
        <v/>
      </c>
      <c r="N413" s="52"/>
      <c r="O413" s="52"/>
      <c r="P413" s="53"/>
      <c r="Q413" s="52"/>
      <c r="R413" s="38" t="str">
        <f>_xlfn.IFNA(VLOOKUP(E413,'Pre-Booked Holidays'!A:B,2,0),"")</f>
        <v/>
      </c>
      <c r="S413" s="38" t="str">
        <f>IF(E413="","",IF(IFERROR(VLOOKUP(E413,'Onbase Report'!D:E,2,0),"")&lt;&gt;"","Details in Onbase","No Details"))</f>
        <v/>
      </c>
      <c r="T413" s="38" t="str">
        <f>IF(LEFT('Salesforce Dump'!Q410,5)="BHX10",LEFT('Salesforce Dump'!Q410,5),LEFT('Salesforce Dump'!Q410,4))</f>
        <v/>
      </c>
      <c r="U413" s="38"/>
    </row>
    <row r="414" spans="1:21" ht="14.5" x14ac:dyDescent="0.35">
      <c r="A414" s="47" t="str">
        <f>IF('Salesforce Dump'!A411&lt;&gt;"",'Salesforce Dump'!A411,"")</f>
        <v/>
      </c>
      <c r="B414" s="48"/>
      <c r="C414" s="49" t="str">
        <f>IF('Salesforce Dump'!B411&lt;&gt;"",'Salesforce Dump'!B411,"")</f>
        <v/>
      </c>
      <c r="D414" s="48"/>
      <c r="E414" s="50" t="str">
        <f>IF('Salesforce Dump'!C411&lt;&gt;"",'Salesforce Dump'!C411,"")</f>
        <v/>
      </c>
      <c r="F414" s="49" t="str">
        <f>IF('Salesforce Dump'!D411&lt;&gt;"",'Salesforce Dump'!D411,"")</f>
        <v/>
      </c>
      <c r="G414" s="49" t="str">
        <f>IF('Salesforce Dump'!E411&lt;&gt;"",'Salesforce Dump'!E411,"")</f>
        <v/>
      </c>
      <c r="H414" s="49" t="str">
        <f>IF('Salesforce Dump'!G411&lt;&gt;"",'Salesforce Dump'!G411,"")</f>
        <v/>
      </c>
      <c r="I414" s="49" t="str">
        <f>IF('Salesforce Dump'!H411&lt;&gt;"",'Salesforce Dump'!H411,"")</f>
        <v/>
      </c>
      <c r="J414" s="51" t="str">
        <f>IF('Salesforce Dump'!I411&lt;&gt;"",'Salesforce Dump'!I411,"")</f>
        <v/>
      </c>
      <c r="K414" s="51" t="str">
        <f>IF('Salesforce Dump'!J411&lt;&gt;"",'Salesforce Dump'!J411,"")</f>
        <v/>
      </c>
      <c r="L414" s="52" t="str">
        <f>IFERROR(INDEX('OBA Dump'!C:C,MATCH($E414*1,'OBA Dump'!$A:$A,0)),"")</f>
        <v/>
      </c>
      <c r="M414" s="52" t="str">
        <f>IFERROR(INDEX('OBA Dump'!D:D,MATCH($E414*1,'OBA Dump'!$A:$A,0)),"")</f>
        <v/>
      </c>
      <c r="N414" s="52"/>
      <c r="O414" s="52"/>
      <c r="P414" s="53"/>
      <c r="Q414" s="52"/>
      <c r="R414" s="38" t="str">
        <f>_xlfn.IFNA(VLOOKUP(E414,'Pre-Booked Holidays'!A:B,2,0),"")</f>
        <v/>
      </c>
      <c r="S414" s="38" t="str">
        <f>IF(E414="","",IF(IFERROR(VLOOKUP(E414,'Onbase Report'!D:E,2,0),"")&lt;&gt;"","Details in Onbase","No Details"))</f>
        <v/>
      </c>
      <c r="T414" s="38" t="str">
        <f>IF(LEFT('Salesforce Dump'!Q411,5)="BHX10",LEFT('Salesforce Dump'!Q411,5),LEFT('Salesforce Dump'!Q411,4))</f>
        <v/>
      </c>
      <c r="U414" s="38"/>
    </row>
    <row r="415" spans="1:21" ht="14.5" x14ac:dyDescent="0.35">
      <c r="A415" s="47" t="str">
        <f>IF('Salesforce Dump'!A412&lt;&gt;"",'Salesforce Dump'!A412,"")</f>
        <v/>
      </c>
      <c r="B415" s="48"/>
      <c r="C415" s="49" t="str">
        <f>IF('Salesforce Dump'!B412&lt;&gt;"",'Salesforce Dump'!B412,"")</f>
        <v/>
      </c>
      <c r="D415" s="48"/>
      <c r="E415" s="50" t="str">
        <f>IF('Salesforce Dump'!C412&lt;&gt;"",'Salesforce Dump'!C412,"")</f>
        <v/>
      </c>
      <c r="F415" s="49" t="str">
        <f>IF('Salesforce Dump'!D412&lt;&gt;"",'Salesforce Dump'!D412,"")</f>
        <v/>
      </c>
      <c r="G415" s="49" t="str">
        <f>IF('Salesforce Dump'!E412&lt;&gt;"",'Salesforce Dump'!E412,"")</f>
        <v/>
      </c>
      <c r="H415" s="49" t="str">
        <f>IF('Salesforce Dump'!G412&lt;&gt;"",'Salesforce Dump'!G412,"")</f>
        <v/>
      </c>
      <c r="I415" s="49" t="str">
        <f>IF('Salesforce Dump'!H412&lt;&gt;"",'Salesforce Dump'!H412,"")</f>
        <v/>
      </c>
      <c r="J415" s="51" t="str">
        <f>IF('Salesforce Dump'!I412&lt;&gt;"",'Salesforce Dump'!I412,"")</f>
        <v/>
      </c>
      <c r="K415" s="51" t="str">
        <f>IF('Salesforce Dump'!J412&lt;&gt;"",'Salesforce Dump'!J412,"")</f>
        <v/>
      </c>
      <c r="L415" s="52" t="str">
        <f>IFERROR(INDEX('OBA Dump'!C:C,MATCH($E415*1,'OBA Dump'!$A:$A,0)),"")</f>
        <v/>
      </c>
      <c r="M415" s="52" t="str">
        <f>IFERROR(INDEX('OBA Dump'!D:D,MATCH($E415*1,'OBA Dump'!$A:$A,0)),"")</f>
        <v/>
      </c>
      <c r="N415" s="52"/>
      <c r="O415" s="52"/>
      <c r="P415" s="53"/>
      <c r="Q415" s="52"/>
      <c r="R415" s="38" t="str">
        <f>_xlfn.IFNA(VLOOKUP(E415,'Pre-Booked Holidays'!A:B,2,0),"")</f>
        <v/>
      </c>
      <c r="S415" s="38" t="str">
        <f>IF(E415="","",IF(IFERROR(VLOOKUP(E415,'Onbase Report'!D:E,2,0),"")&lt;&gt;"","Details in Onbase","No Details"))</f>
        <v/>
      </c>
      <c r="T415" s="38" t="str">
        <f>IF(LEFT('Salesforce Dump'!Q412,5)="BHX10",LEFT('Salesforce Dump'!Q412,5),LEFT('Salesforce Dump'!Q412,4))</f>
        <v/>
      </c>
      <c r="U415" s="38"/>
    </row>
    <row r="416" spans="1:21" ht="14.5" x14ac:dyDescent="0.35">
      <c r="A416" s="47" t="str">
        <f>IF('Salesforce Dump'!A413&lt;&gt;"",'Salesforce Dump'!A413,"")</f>
        <v/>
      </c>
      <c r="B416" s="48"/>
      <c r="C416" s="49" t="str">
        <f>IF('Salesforce Dump'!B413&lt;&gt;"",'Salesforce Dump'!B413,"")</f>
        <v/>
      </c>
      <c r="D416" s="48"/>
      <c r="E416" s="50" t="str">
        <f>IF('Salesforce Dump'!C413&lt;&gt;"",'Salesforce Dump'!C413,"")</f>
        <v/>
      </c>
      <c r="F416" s="49" t="str">
        <f>IF('Salesforce Dump'!D413&lt;&gt;"",'Salesforce Dump'!D413,"")</f>
        <v/>
      </c>
      <c r="G416" s="49" t="str">
        <f>IF('Salesforce Dump'!E413&lt;&gt;"",'Salesforce Dump'!E413,"")</f>
        <v/>
      </c>
      <c r="H416" s="49" t="str">
        <f>IF('Salesforce Dump'!G413&lt;&gt;"",'Salesforce Dump'!G413,"")</f>
        <v/>
      </c>
      <c r="I416" s="49" t="str">
        <f>IF('Salesforce Dump'!H413&lt;&gt;"",'Salesforce Dump'!H413,"")</f>
        <v/>
      </c>
      <c r="J416" s="51" t="str">
        <f>IF('Salesforce Dump'!I413&lt;&gt;"",'Salesforce Dump'!I413,"")</f>
        <v/>
      </c>
      <c r="K416" s="51" t="str">
        <f>IF('Salesforce Dump'!J413&lt;&gt;"",'Salesforce Dump'!J413,"")</f>
        <v/>
      </c>
      <c r="L416" s="52" t="str">
        <f>IFERROR(INDEX('OBA Dump'!C:C,MATCH($E416*1,'OBA Dump'!$A:$A,0)),"")</f>
        <v/>
      </c>
      <c r="M416" s="52" t="str">
        <f>IFERROR(INDEX('OBA Dump'!D:D,MATCH($E416*1,'OBA Dump'!$A:$A,0)),"")</f>
        <v/>
      </c>
      <c r="N416" s="52"/>
      <c r="O416" s="52"/>
      <c r="P416" s="53"/>
      <c r="Q416" s="52"/>
      <c r="R416" s="38" t="str">
        <f>_xlfn.IFNA(VLOOKUP(E416,'Pre-Booked Holidays'!A:B,2,0),"")</f>
        <v/>
      </c>
      <c r="S416" s="38" t="str">
        <f>IF(E416="","",IF(IFERROR(VLOOKUP(E416,'Onbase Report'!D:E,2,0),"")&lt;&gt;"","Details in Onbase","No Details"))</f>
        <v/>
      </c>
      <c r="T416" s="38" t="str">
        <f>IF(LEFT('Salesforce Dump'!Q413,5)="BHX10",LEFT('Salesforce Dump'!Q413,5),LEFT('Salesforce Dump'!Q413,4))</f>
        <v/>
      </c>
      <c r="U416" s="38"/>
    </row>
    <row r="417" spans="1:21" ht="14.5" x14ac:dyDescent="0.35">
      <c r="A417" s="47" t="str">
        <f>IF('Salesforce Dump'!A414&lt;&gt;"",'Salesforce Dump'!A414,"")</f>
        <v/>
      </c>
      <c r="B417" s="48"/>
      <c r="C417" s="49" t="str">
        <f>IF('Salesforce Dump'!B414&lt;&gt;"",'Salesforce Dump'!B414,"")</f>
        <v/>
      </c>
      <c r="D417" s="48"/>
      <c r="E417" s="50" t="str">
        <f>IF('Salesforce Dump'!C414&lt;&gt;"",'Salesforce Dump'!C414,"")</f>
        <v/>
      </c>
      <c r="F417" s="49" t="str">
        <f>IF('Salesforce Dump'!D414&lt;&gt;"",'Salesforce Dump'!D414,"")</f>
        <v/>
      </c>
      <c r="G417" s="49" t="str">
        <f>IF('Salesforce Dump'!E414&lt;&gt;"",'Salesforce Dump'!E414,"")</f>
        <v/>
      </c>
      <c r="H417" s="49" t="str">
        <f>IF('Salesforce Dump'!G414&lt;&gt;"",'Salesforce Dump'!G414,"")</f>
        <v/>
      </c>
      <c r="I417" s="49" t="str">
        <f>IF('Salesforce Dump'!H414&lt;&gt;"",'Salesforce Dump'!H414,"")</f>
        <v/>
      </c>
      <c r="J417" s="51" t="str">
        <f>IF('Salesforce Dump'!I414&lt;&gt;"",'Salesforce Dump'!I414,"")</f>
        <v/>
      </c>
      <c r="K417" s="51" t="str">
        <f>IF('Salesforce Dump'!J414&lt;&gt;"",'Salesforce Dump'!J414,"")</f>
        <v/>
      </c>
      <c r="L417" s="52" t="str">
        <f>IFERROR(INDEX('OBA Dump'!C:C,MATCH($E417*1,'OBA Dump'!$A:$A,0)),"")</f>
        <v/>
      </c>
      <c r="M417" s="52" t="str">
        <f>IFERROR(INDEX('OBA Dump'!D:D,MATCH($E417*1,'OBA Dump'!$A:$A,0)),"")</f>
        <v/>
      </c>
      <c r="N417" s="52"/>
      <c r="O417" s="52"/>
      <c r="P417" s="53"/>
      <c r="Q417" s="52"/>
      <c r="R417" s="38" t="str">
        <f>_xlfn.IFNA(VLOOKUP(E417,'Pre-Booked Holidays'!A:B,2,0),"")</f>
        <v/>
      </c>
      <c r="S417" s="38" t="str">
        <f>IF(E417="","",IF(IFERROR(VLOOKUP(E417,'Onbase Report'!D:E,2,0),"")&lt;&gt;"","Details in Onbase","No Details"))</f>
        <v/>
      </c>
      <c r="T417" s="38" t="str">
        <f>IF(LEFT('Salesforce Dump'!Q414,5)="BHX10",LEFT('Salesforce Dump'!Q414,5),LEFT('Salesforce Dump'!Q414,4))</f>
        <v/>
      </c>
      <c r="U417" s="38"/>
    </row>
    <row r="418" spans="1:21" ht="14.5" x14ac:dyDescent="0.35">
      <c r="A418" s="47" t="str">
        <f>IF('Salesforce Dump'!A415&lt;&gt;"",'Salesforce Dump'!A415,"")</f>
        <v/>
      </c>
      <c r="B418" s="48"/>
      <c r="C418" s="49" t="str">
        <f>IF('Salesforce Dump'!B415&lt;&gt;"",'Salesforce Dump'!B415,"")</f>
        <v/>
      </c>
      <c r="D418" s="48"/>
      <c r="E418" s="50" t="str">
        <f>IF('Salesforce Dump'!C415&lt;&gt;"",'Salesforce Dump'!C415,"")</f>
        <v/>
      </c>
      <c r="F418" s="49" t="str">
        <f>IF('Salesforce Dump'!D415&lt;&gt;"",'Salesforce Dump'!D415,"")</f>
        <v/>
      </c>
      <c r="G418" s="49" t="str">
        <f>IF('Salesforce Dump'!E415&lt;&gt;"",'Salesforce Dump'!E415,"")</f>
        <v/>
      </c>
      <c r="H418" s="49" t="str">
        <f>IF('Salesforce Dump'!G415&lt;&gt;"",'Salesforce Dump'!G415,"")</f>
        <v/>
      </c>
      <c r="I418" s="49" t="str">
        <f>IF('Salesforce Dump'!H415&lt;&gt;"",'Salesforce Dump'!H415,"")</f>
        <v/>
      </c>
      <c r="J418" s="51" t="str">
        <f>IF('Salesforce Dump'!I415&lt;&gt;"",'Salesforce Dump'!I415,"")</f>
        <v/>
      </c>
      <c r="K418" s="51" t="str">
        <f>IF('Salesforce Dump'!J415&lt;&gt;"",'Salesforce Dump'!J415,"")</f>
        <v/>
      </c>
      <c r="L418" s="52" t="str">
        <f>IFERROR(INDEX('OBA Dump'!C:C,MATCH($E418*1,'OBA Dump'!$A:$A,0)),"")</f>
        <v/>
      </c>
      <c r="M418" s="52" t="str">
        <f>IFERROR(INDEX('OBA Dump'!D:D,MATCH($E418*1,'OBA Dump'!$A:$A,0)),"")</f>
        <v/>
      </c>
      <c r="N418" s="52"/>
      <c r="O418" s="52"/>
      <c r="P418" s="53"/>
      <c r="Q418" s="52"/>
      <c r="R418" s="38" t="str">
        <f>_xlfn.IFNA(VLOOKUP(E418,'Pre-Booked Holidays'!A:B,2,0),"")</f>
        <v/>
      </c>
      <c r="S418" s="38" t="str">
        <f>IF(E418="","",IF(IFERROR(VLOOKUP(E418,'Onbase Report'!D:E,2,0),"")&lt;&gt;"","Details in Onbase","No Details"))</f>
        <v/>
      </c>
      <c r="T418" s="38" t="str">
        <f>IF(LEFT('Salesforce Dump'!Q415,5)="BHX10",LEFT('Salesforce Dump'!Q415,5),LEFT('Salesforce Dump'!Q415,4))</f>
        <v/>
      </c>
      <c r="U418" s="38"/>
    </row>
    <row r="419" spans="1:21" ht="14.5" x14ac:dyDescent="0.35">
      <c r="A419" s="47" t="str">
        <f>IF('Salesforce Dump'!A416&lt;&gt;"",'Salesforce Dump'!A416,"")</f>
        <v/>
      </c>
      <c r="B419" s="48"/>
      <c r="C419" s="49" t="str">
        <f>IF('Salesforce Dump'!B416&lt;&gt;"",'Salesforce Dump'!B416,"")</f>
        <v/>
      </c>
      <c r="D419" s="48"/>
      <c r="E419" s="50" t="str">
        <f>IF('Salesforce Dump'!C416&lt;&gt;"",'Salesforce Dump'!C416,"")</f>
        <v/>
      </c>
      <c r="F419" s="49" t="str">
        <f>IF('Salesforce Dump'!D416&lt;&gt;"",'Salesforce Dump'!D416,"")</f>
        <v/>
      </c>
      <c r="G419" s="49" t="str">
        <f>IF('Salesforce Dump'!E416&lt;&gt;"",'Salesforce Dump'!E416,"")</f>
        <v/>
      </c>
      <c r="H419" s="49" t="str">
        <f>IF('Salesforce Dump'!G416&lt;&gt;"",'Salesforce Dump'!G416,"")</f>
        <v/>
      </c>
      <c r="I419" s="49" t="str">
        <f>IF('Salesforce Dump'!H416&lt;&gt;"",'Salesforce Dump'!H416,"")</f>
        <v/>
      </c>
      <c r="J419" s="51" t="str">
        <f>IF('Salesforce Dump'!I416&lt;&gt;"",'Salesforce Dump'!I416,"")</f>
        <v/>
      </c>
      <c r="K419" s="51" t="str">
        <f>IF('Salesforce Dump'!J416&lt;&gt;"",'Salesforce Dump'!J416,"")</f>
        <v/>
      </c>
      <c r="L419" s="52" t="str">
        <f>IFERROR(INDEX('OBA Dump'!C:C,MATCH($E419*1,'OBA Dump'!$A:$A,0)),"")</f>
        <v/>
      </c>
      <c r="M419" s="52" t="str">
        <f>IFERROR(INDEX('OBA Dump'!D:D,MATCH($E419*1,'OBA Dump'!$A:$A,0)),"")</f>
        <v/>
      </c>
      <c r="N419" s="52"/>
      <c r="O419" s="52"/>
      <c r="P419" s="53"/>
      <c r="Q419" s="52"/>
      <c r="R419" s="38" t="str">
        <f>_xlfn.IFNA(VLOOKUP(E419,'Pre-Booked Holidays'!A:B,2,0),"")</f>
        <v/>
      </c>
      <c r="S419" s="38" t="str">
        <f>IF(E419="","",IF(IFERROR(VLOOKUP(E419,'Onbase Report'!D:E,2,0),"")&lt;&gt;"","Details in Onbase","No Details"))</f>
        <v/>
      </c>
      <c r="T419" s="38" t="str">
        <f>IF(LEFT('Salesforce Dump'!Q416,5)="BHX10",LEFT('Salesforce Dump'!Q416,5),LEFT('Salesforce Dump'!Q416,4))</f>
        <v/>
      </c>
      <c r="U419" s="38"/>
    </row>
    <row r="420" spans="1:21" ht="14.5" x14ac:dyDescent="0.35">
      <c r="A420" s="47" t="str">
        <f>IF('Salesforce Dump'!A417&lt;&gt;"",'Salesforce Dump'!A417,"")</f>
        <v/>
      </c>
      <c r="B420" s="48"/>
      <c r="C420" s="49" t="str">
        <f>IF('Salesforce Dump'!B417&lt;&gt;"",'Salesforce Dump'!B417,"")</f>
        <v/>
      </c>
      <c r="D420" s="48"/>
      <c r="E420" s="50" t="str">
        <f>IF('Salesforce Dump'!C417&lt;&gt;"",'Salesforce Dump'!C417,"")</f>
        <v/>
      </c>
      <c r="F420" s="49" t="str">
        <f>IF('Salesforce Dump'!D417&lt;&gt;"",'Salesforce Dump'!D417,"")</f>
        <v/>
      </c>
      <c r="G420" s="49" t="str">
        <f>IF('Salesforce Dump'!E417&lt;&gt;"",'Salesforce Dump'!E417,"")</f>
        <v/>
      </c>
      <c r="H420" s="49" t="str">
        <f>IF('Salesforce Dump'!G417&lt;&gt;"",'Salesforce Dump'!G417,"")</f>
        <v/>
      </c>
      <c r="I420" s="49" t="str">
        <f>IF('Salesforce Dump'!H417&lt;&gt;"",'Salesforce Dump'!H417,"")</f>
        <v/>
      </c>
      <c r="J420" s="51" t="str">
        <f>IF('Salesforce Dump'!I417&lt;&gt;"",'Salesforce Dump'!I417,"")</f>
        <v/>
      </c>
      <c r="K420" s="51" t="str">
        <f>IF('Salesforce Dump'!J417&lt;&gt;"",'Salesforce Dump'!J417,"")</f>
        <v/>
      </c>
      <c r="L420" s="52" t="str">
        <f>IFERROR(INDEX('OBA Dump'!C:C,MATCH($E420*1,'OBA Dump'!$A:$A,0)),"")</f>
        <v/>
      </c>
      <c r="M420" s="52" t="str">
        <f>IFERROR(INDEX('OBA Dump'!D:D,MATCH($E420*1,'OBA Dump'!$A:$A,0)),"")</f>
        <v/>
      </c>
      <c r="N420" s="52"/>
      <c r="O420" s="52"/>
      <c r="P420" s="53"/>
      <c r="Q420" s="52"/>
      <c r="R420" s="38" t="str">
        <f>_xlfn.IFNA(VLOOKUP(E420,'Pre-Booked Holidays'!A:B,2,0),"")</f>
        <v/>
      </c>
      <c r="S420" s="38" t="str">
        <f>IF(E420="","",IF(IFERROR(VLOOKUP(E420,'Onbase Report'!D:E,2,0),"")&lt;&gt;"","Details in Onbase","No Details"))</f>
        <v/>
      </c>
      <c r="T420" s="38" t="str">
        <f>IF(LEFT('Salesforce Dump'!Q417,5)="BHX10",LEFT('Salesforce Dump'!Q417,5),LEFT('Salesforce Dump'!Q417,4))</f>
        <v/>
      </c>
      <c r="U420" s="38"/>
    </row>
    <row r="421" spans="1:21" ht="14.5" x14ac:dyDescent="0.35">
      <c r="A421" s="47" t="str">
        <f>IF('Salesforce Dump'!A418&lt;&gt;"",'Salesforce Dump'!A418,"")</f>
        <v/>
      </c>
      <c r="B421" s="48"/>
      <c r="C421" s="49" t="str">
        <f>IF('Salesforce Dump'!B418&lt;&gt;"",'Salesforce Dump'!B418,"")</f>
        <v/>
      </c>
      <c r="D421" s="48"/>
      <c r="E421" s="50" t="str">
        <f>IF('Salesforce Dump'!C418&lt;&gt;"",'Salesforce Dump'!C418,"")</f>
        <v/>
      </c>
      <c r="F421" s="49" t="str">
        <f>IF('Salesforce Dump'!D418&lt;&gt;"",'Salesforce Dump'!D418,"")</f>
        <v/>
      </c>
      <c r="G421" s="49" t="str">
        <f>IF('Salesforce Dump'!E418&lt;&gt;"",'Salesforce Dump'!E418,"")</f>
        <v/>
      </c>
      <c r="H421" s="49" t="str">
        <f>IF('Salesforce Dump'!G418&lt;&gt;"",'Salesforce Dump'!G418,"")</f>
        <v/>
      </c>
      <c r="I421" s="49" t="str">
        <f>IF('Salesforce Dump'!H418&lt;&gt;"",'Salesforce Dump'!H418,"")</f>
        <v/>
      </c>
      <c r="J421" s="51" t="str">
        <f>IF('Salesforce Dump'!I418&lt;&gt;"",'Salesforce Dump'!I418,"")</f>
        <v/>
      </c>
      <c r="K421" s="51" t="str">
        <f>IF('Salesforce Dump'!J418&lt;&gt;"",'Salesforce Dump'!J418,"")</f>
        <v/>
      </c>
      <c r="L421" s="52" t="str">
        <f>IFERROR(INDEX('OBA Dump'!C:C,MATCH($E421*1,'OBA Dump'!$A:$A,0)),"")</f>
        <v/>
      </c>
      <c r="M421" s="52" t="str">
        <f>IFERROR(INDEX('OBA Dump'!D:D,MATCH($E421*1,'OBA Dump'!$A:$A,0)),"")</f>
        <v/>
      </c>
      <c r="N421" s="52"/>
      <c r="O421" s="52"/>
      <c r="P421" s="53"/>
      <c r="Q421" s="52"/>
      <c r="R421" s="38" t="str">
        <f>_xlfn.IFNA(VLOOKUP(E421,'Pre-Booked Holidays'!A:B,2,0),"")</f>
        <v/>
      </c>
      <c r="S421" s="38" t="str">
        <f>IF(E421="","",IF(IFERROR(VLOOKUP(E421,'Onbase Report'!D:E,2,0),"")&lt;&gt;"","Details in Onbase","No Details"))</f>
        <v/>
      </c>
      <c r="T421" s="38" t="str">
        <f>IF(LEFT('Salesforce Dump'!Q418,5)="BHX10",LEFT('Salesforce Dump'!Q418,5),LEFT('Salesforce Dump'!Q418,4))</f>
        <v/>
      </c>
      <c r="U421" s="38"/>
    </row>
    <row r="422" spans="1:21" ht="14.5" x14ac:dyDescent="0.35">
      <c r="A422" s="47" t="str">
        <f>IF('Salesforce Dump'!A419&lt;&gt;"",'Salesforce Dump'!A419,"")</f>
        <v/>
      </c>
      <c r="B422" s="48"/>
      <c r="C422" s="49" t="str">
        <f>IF('Salesforce Dump'!B419&lt;&gt;"",'Salesforce Dump'!B419,"")</f>
        <v/>
      </c>
      <c r="D422" s="48"/>
      <c r="E422" s="50" t="str">
        <f>IF('Salesforce Dump'!C419&lt;&gt;"",'Salesforce Dump'!C419,"")</f>
        <v/>
      </c>
      <c r="F422" s="49" t="str">
        <f>IF('Salesforce Dump'!D419&lt;&gt;"",'Salesforce Dump'!D419,"")</f>
        <v/>
      </c>
      <c r="G422" s="49" t="str">
        <f>IF('Salesforce Dump'!E419&lt;&gt;"",'Salesforce Dump'!E419,"")</f>
        <v/>
      </c>
      <c r="H422" s="49" t="str">
        <f>IF('Salesforce Dump'!G419&lt;&gt;"",'Salesforce Dump'!G419,"")</f>
        <v/>
      </c>
      <c r="I422" s="49" t="str">
        <f>IF('Salesforce Dump'!H419&lt;&gt;"",'Salesforce Dump'!H419,"")</f>
        <v/>
      </c>
      <c r="J422" s="51" t="str">
        <f>IF('Salesforce Dump'!I419&lt;&gt;"",'Salesforce Dump'!I419,"")</f>
        <v/>
      </c>
      <c r="K422" s="51" t="str">
        <f>IF('Salesforce Dump'!J419&lt;&gt;"",'Salesforce Dump'!J419,"")</f>
        <v/>
      </c>
      <c r="L422" s="52" t="str">
        <f>IFERROR(INDEX('OBA Dump'!C:C,MATCH($E422*1,'OBA Dump'!$A:$A,0)),"")</f>
        <v/>
      </c>
      <c r="M422" s="52" t="str">
        <f>IFERROR(INDEX('OBA Dump'!D:D,MATCH($E422*1,'OBA Dump'!$A:$A,0)),"")</f>
        <v/>
      </c>
      <c r="N422" s="52"/>
      <c r="O422" s="52"/>
      <c r="P422" s="53"/>
      <c r="Q422" s="52"/>
      <c r="R422" s="38" t="str">
        <f>_xlfn.IFNA(VLOOKUP(E422,'Pre-Booked Holidays'!A:B,2,0),"")</f>
        <v/>
      </c>
      <c r="S422" s="38" t="str">
        <f>IF(E422="","",IF(IFERROR(VLOOKUP(E422,'Onbase Report'!D:E,2,0),"")&lt;&gt;"","Details in Onbase","No Details"))</f>
        <v/>
      </c>
      <c r="T422" s="38" t="str">
        <f>IF(LEFT('Salesforce Dump'!Q419,5)="BHX10",LEFT('Salesforce Dump'!Q419,5),LEFT('Salesforce Dump'!Q419,4))</f>
        <v/>
      </c>
      <c r="U422" s="38"/>
    </row>
    <row r="423" spans="1:21" ht="14.5" x14ac:dyDescent="0.35">
      <c r="A423" s="47" t="str">
        <f>IF('Salesforce Dump'!A420&lt;&gt;"",'Salesforce Dump'!A420,"")</f>
        <v/>
      </c>
      <c r="B423" s="48"/>
      <c r="C423" s="49" t="str">
        <f>IF('Salesforce Dump'!B420&lt;&gt;"",'Salesforce Dump'!B420,"")</f>
        <v/>
      </c>
      <c r="D423" s="48"/>
      <c r="E423" s="50" t="str">
        <f>IF('Salesforce Dump'!C420&lt;&gt;"",'Salesforce Dump'!C420,"")</f>
        <v/>
      </c>
      <c r="F423" s="49" t="str">
        <f>IF('Salesforce Dump'!D420&lt;&gt;"",'Salesforce Dump'!D420,"")</f>
        <v/>
      </c>
      <c r="G423" s="49" t="str">
        <f>IF('Salesforce Dump'!E420&lt;&gt;"",'Salesforce Dump'!E420,"")</f>
        <v/>
      </c>
      <c r="H423" s="49" t="str">
        <f>IF('Salesforce Dump'!G420&lt;&gt;"",'Salesforce Dump'!G420,"")</f>
        <v/>
      </c>
      <c r="I423" s="49" t="str">
        <f>IF('Salesforce Dump'!H420&lt;&gt;"",'Salesforce Dump'!H420,"")</f>
        <v/>
      </c>
      <c r="J423" s="51" t="str">
        <f>IF('Salesforce Dump'!I420&lt;&gt;"",'Salesforce Dump'!I420,"")</f>
        <v/>
      </c>
      <c r="K423" s="51" t="str">
        <f>IF('Salesforce Dump'!J420&lt;&gt;"",'Salesforce Dump'!J420,"")</f>
        <v/>
      </c>
      <c r="L423" s="52" t="str">
        <f>IFERROR(INDEX('OBA Dump'!C:C,MATCH($E423*1,'OBA Dump'!$A:$A,0)),"")</f>
        <v/>
      </c>
      <c r="M423" s="52" t="str">
        <f>IFERROR(INDEX('OBA Dump'!D:D,MATCH($E423*1,'OBA Dump'!$A:$A,0)),"")</f>
        <v/>
      </c>
      <c r="N423" s="52"/>
      <c r="O423" s="52"/>
      <c r="P423" s="53"/>
      <c r="Q423" s="52"/>
      <c r="R423" s="38" t="str">
        <f>_xlfn.IFNA(VLOOKUP(E423,'Pre-Booked Holidays'!A:B,2,0),"")</f>
        <v/>
      </c>
      <c r="S423" s="38" t="str">
        <f>IF(E423="","",IF(IFERROR(VLOOKUP(E423,'Onbase Report'!D:E,2,0),"")&lt;&gt;"","Details in Onbase","No Details"))</f>
        <v/>
      </c>
      <c r="T423" s="38" t="str">
        <f>IF(LEFT('Salesforce Dump'!Q420,5)="BHX10",LEFT('Salesforce Dump'!Q420,5),LEFT('Salesforce Dump'!Q420,4))</f>
        <v/>
      </c>
      <c r="U423" s="38"/>
    </row>
    <row r="424" spans="1:21" ht="14.5" x14ac:dyDescent="0.35">
      <c r="A424" s="47" t="str">
        <f>IF('Salesforce Dump'!A421&lt;&gt;"",'Salesforce Dump'!A421,"")</f>
        <v/>
      </c>
      <c r="B424" s="48"/>
      <c r="C424" s="49" t="str">
        <f>IF('Salesforce Dump'!B421&lt;&gt;"",'Salesforce Dump'!B421,"")</f>
        <v/>
      </c>
      <c r="D424" s="48"/>
      <c r="E424" s="50" t="str">
        <f>IF('Salesforce Dump'!C421&lt;&gt;"",'Salesforce Dump'!C421,"")</f>
        <v/>
      </c>
      <c r="F424" s="49" t="str">
        <f>IF('Salesforce Dump'!D421&lt;&gt;"",'Salesforce Dump'!D421,"")</f>
        <v/>
      </c>
      <c r="G424" s="49" t="str">
        <f>IF('Salesforce Dump'!E421&lt;&gt;"",'Salesforce Dump'!E421,"")</f>
        <v/>
      </c>
      <c r="H424" s="49" t="str">
        <f>IF('Salesforce Dump'!G421&lt;&gt;"",'Salesforce Dump'!G421,"")</f>
        <v/>
      </c>
      <c r="I424" s="49" t="str">
        <f>IF('Salesforce Dump'!H421&lt;&gt;"",'Salesforce Dump'!H421,"")</f>
        <v/>
      </c>
      <c r="J424" s="51" t="str">
        <f>IF('Salesforce Dump'!I421&lt;&gt;"",'Salesforce Dump'!I421,"")</f>
        <v/>
      </c>
      <c r="K424" s="51" t="str">
        <f>IF('Salesforce Dump'!J421&lt;&gt;"",'Salesforce Dump'!J421,"")</f>
        <v/>
      </c>
      <c r="L424" s="52" t="str">
        <f>IFERROR(INDEX('OBA Dump'!C:C,MATCH($E424*1,'OBA Dump'!$A:$A,0)),"")</f>
        <v/>
      </c>
      <c r="M424" s="52" t="str">
        <f>IFERROR(INDEX('OBA Dump'!D:D,MATCH($E424*1,'OBA Dump'!$A:$A,0)),"")</f>
        <v/>
      </c>
      <c r="N424" s="52"/>
      <c r="O424" s="52"/>
      <c r="P424" s="53"/>
      <c r="Q424" s="52"/>
      <c r="R424" s="38" t="str">
        <f>_xlfn.IFNA(VLOOKUP(E424,'Pre-Booked Holidays'!A:B,2,0),"")</f>
        <v/>
      </c>
      <c r="S424" s="38" t="str">
        <f>IF(E424="","",IF(IFERROR(VLOOKUP(E424,'Onbase Report'!D:E,2,0),"")&lt;&gt;"","Details in Onbase","No Details"))</f>
        <v/>
      </c>
      <c r="T424" s="38" t="str">
        <f>IF(LEFT('Salesforce Dump'!Q421,5)="BHX10",LEFT('Salesforce Dump'!Q421,5),LEFT('Salesforce Dump'!Q421,4))</f>
        <v/>
      </c>
      <c r="U424" s="38"/>
    </row>
    <row r="425" spans="1:21" ht="14.5" x14ac:dyDescent="0.35">
      <c r="A425" s="47" t="str">
        <f>IF('Salesforce Dump'!A422&lt;&gt;"",'Salesforce Dump'!A422,"")</f>
        <v/>
      </c>
      <c r="B425" s="48"/>
      <c r="C425" s="49" t="str">
        <f>IF('Salesforce Dump'!B422&lt;&gt;"",'Salesforce Dump'!B422,"")</f>
        <v/>
      </c>
      <c r="D425" s="48"/>
      <c r="E425" s="50" t="str">
        <f>IF('Salesforce Dump'!C422&lt;&gt;"",'Salesforce Dump'!C422,"")</f>
        <v/>
      </c>
      <c r="F425" s="49" t="str">
        <f>IF('Salesforce Dump'!D422&lt;&gt;"",'Salesforce Dump'!D422,"")</f>
        <v/>
      </c>
      <c r="G425" s="49" t="str">
        <f>IF('Salesforce Dump'!E422&lt;&gt;"",'Salesforce Dump'!E422,"")</f>
        <v/>
      </c>
      <c r="H425" s="49" t="str">
        <f>IF('Salesforce Dump'!G422&lt;&gt;"",'Salesforce Dump'!G422,"")</f>
        <v/>
      </c>
      <c r="I425" s="49" t="str">
        <f>IF('Salesforce Dump'!H422&lt;&gt;"",'Salesforce Dump'!H422,"")</f>
        <v/>
      </c>
      <c r="J425" s="51" t="str">
        <f>IF('Salesforce Dump'!I422&lt;&gt;"",'Salesforce Dump'!I422,"")</f>
        <v/>
      </c>
      <c r="K425" s="51" t="str">
        <f>IF('Salesforce Dump'!J422&lt;&gt;"",'Salesforce Dump'!J422,"")</f>
        <v/>
      </c>
      <c r="L425" s="52" t="str">
        <f>IFERROR(INDEX('OBA Dump'!C:C,MATCH($E425*1,'OBA Dump'!$A:$A,0)),"")</f>
        <v/>
      </c>
      <c r="M425" s="52" t="str">
        <f>IFERROR(INDEX('OBA Dump'!D:D,MATCH($E425*1,'OBA Dump'!$A:$A,0)),"")</f>
        <v/>
      </c>
      <c r="N425" s="52"/>
      <c r="O425" s="52"/>
      <c r="P425" s="53"/>
      <c r="Q425" s="52"/>
      <c r="R425" s="38" t="str">
        <f>_xlfn.IFNA(VLOOKUP(E425,'Pre-Booked Holidays'!A:B,2,0),"")</f>
        <v/>
      </c>
      <c r="S425" s="38" t="str">
        <f>IF(E425="","",IF(IFERROR(VLOOKUP(E425,'Onbase Report'!D:E,2,0),"")&lt;&gt;"","Details in Onbase","No Details"))</f>
        <v/>
      </c>
      <c r="T425" s="38" t="str">
        <f>IF(LEFT('Salesforce Dump'!Q422,5)="BHX10",LEFT('Salesforce Dump'!Q422,5),LEFT('Salesforce Dump'!Q422,4))</f>
        <v/>
      </c>
      <c r="U425" s="38"/>
    </row>
    <row r="426" spans="1:21" ht="14.5" x14ac:dyDescent="0.35">
      <c r="A426" s="47" t="str">
        <f>IF('Salesforce Dump'!A423&lt;&gt;"",'Salesforce Dump'!A423,"")</f>
        <v/>
      </c>
      <c r="B426" s="48"/>
      <c r="C426" s="49" t="str">
        <f>IF('Salesforce Dump'!B423&lt;&gt;"",'Salesforce Dump'!B423,"")</f>
        <v/>
      </c>
      <c r="D426" s="48"/>
      <c r="E426" s="50" t="str">
        <f>IF('Salesforce Dump'!C423&lt;&gt;"",'Salesforce Dump'!C423,"")</f>
        <v/>
      </c>
      <c r="F426" s="49" t="str">
        <f>IF('Salesforce Dump'!D423&lt;&gt;"",'Salesforce Dump'!D423,"")</f>
        <v/>
      </c>
      <c r="G426" s="49" t="str">
        <f>IF('Salesforce Dump'!E423&lt;&gt;"",'Salesforce Dump'!E423,"")</f>
        <v/>
      </c>
      <c r="H426" s="49" t="str">
        <f>IF('Salesforce Dump'!G423&lt;&gt;"",'Salesforce Dump'!G423,"")</f>
        <v/>
      </c>
      <c r="I426" s="49" t="str">
        <f>IF('Salesforce Dump'!H423&lt;&gt;"",'Salesforce Dump'!H423,"")</f>
        <v/>
      </c>
      <c r="J426" s="51" t="str">
        <f>IF('Salesforce Dump'!I423&lt;&gt;"",'Salesforce Dump'!I423,"")</f>
        <v/>
      </c>
      <c r="K426" s="51" t="str">
        <f>IF('Salesforce Dump'!J423&lt;&gt;"",'Salesforce Dump'!J423,"")</f>
        <v/>
      </c>
      <c r="L426" s="52" t="str">
        <f>IFERROR(INDEX('OBA Dump'!C:C,MATCH($E426*1,'OBA Dump'!$A:$A,0)),"")</f>
        <v/>
      </c>
      <c r="M426" s="52" t="str">
        <f>IFERROR(INDEX('OBA Dump'!D:D,MATCH($E426*1,'OBA Dump'!$A:$A,0)),"")</f>
        <v/>
      </c>
      <c r="N426" s="52"/>
      <c r="O426" s="52"/>
      <c r="P426" s="53"/>
      <c r="Q426" s="52"/>
      <c r="R426" s="38" t="str">
        <f>_xlfn.IFNA(VLOOKUP(E426,'Pre-Booked Holidays'!A:B,2,0),"")</f>
        <v/>
      </c>
      <c r="S426" s="38" t="str">
        <f>IF(E426="","",IF(IFERROR(VLOOKUP(E426,'Onbase Report'!D:E,2,0),"")&lt;&gt;"","Details in Onbase","No Details"))</f>
        <v/>
      </c>
      <c r="T426" s="38" t="str">
        <f>IF(LEFT('Salesforce Dump'!Q423,5)="BHX10",LEFT('Salesforce Dump'!Q423,5),LEFT('Salesforce Dump'!Q423,4))</f>
        <v/>
      </c>
      <c r="U426" s="38"/>
    </row>
    <row r="427" spans="1:21" ht="14.5" x14ac:dyDescent="0.35">
      <c r="A427" s="47" t="str">
        <f>IF('Salesforce Dump'!A424&lt;&gt;"",'Salesforce Dump'!A424,"")</f>
        <v/>
      </c>
      <c r="B427" s="48"/>
      <c r="C427" s="49" t="str">
        <f>IF('Salesforce Dump'!B424&lt;&gt;"",'Salesforce Dump'!B424,"")</f>
        <v/>
      </c>
      <c r="D427" s="48"/>
      <c r="E427" s="50" t="str">
        <f>IF('Salesforce Dump'!C424&lt;&gt;"",'Salesforce Dump'!C424,"")</f>
        <v/>
      </c>
      <c r="F427" s="49" t="str">
        <f>IF('Salesforce Dump'!D424&lt;&gt;"",'Salesforce Dump'!D424,"")</f>
        <v/>
      </c>
      <c r="G427" s="49" t="str">
        <f>IF('Salesforce Dump'!E424&lt;&gt;"",'Salesforce Dump'!E424,"")</f>
        <v/>
      </c>
      <c r="H427" s="49" t="str">
        <f>IF('Salesforce Dump'!G424&lt;&gt;"",'Salesforce Dump'!G424,"")</f>
        <v/>
      </c>
      <c r="I427" s="49" t="str">
        <f>IF('Salesforce Dump'!H424&lt;&gt;"",'Salesforce Dump'!H424,"")</f>
        <v/>
      </c>
      <c r="J427" s="51" t="str">
        <f>IF('Salesforce Dump'!I424&lt;&gt;"",'Salesforce Dump'!I424,"")</f>
        <v/>
      </c>
      <c r="K427" s="51" t="str">
        <f>IF('Salesforce Dump'!J424&lt;&gt;"",'Salesforce Dump'!J424,"")</f>
        <v/>
      </c>
      <c r="L427" s="52" t="str">
        <f>IFERROR(INDEX('OBA Dump'!C:C,MATCH($E427*1,'OBA Dump'!$A:$A,0)),"")</f>
        <v/>
      </c>
      <c r="M427" s="52" t="str">
        <f>IFERROR(INDEX('OBA Dump'!D:D,MATCH($E427*1,'OBA Dump'!$A:$A,0)),"")</f>
        <v/>
      </c>
      <c r="N427" s="52"/>
      <c r="O427" s="52"/>
      <c r="P427" s="53"/>
      <c r="Q427" s="52"/>
      <c r="R427" s="38" t="str">
        <f>_xlfn.IFNA(VLOOKUP(E427,'Pre-Booked Holidays'!A:B,2,0),"")</f>
        <v/>
      </c>
      <c r="S427" s="38" t="str">
        <f>IF(E427="","",IF(IFERROR(VLOOKUP(E427,'Onbase Report'!D:E,2,0),"")&lt;&gt;"","Details in Onbase","No Details"))</f>
        <v/>
      </c>
      <c r="T427" s="38" t="str">
        <f>IF(LEFT('Salesforce Dump'!Q424,5)="BHX10",LEFT('Salesforce Dump'!Q424,5),LEFT('Salesforce Dump'!Q424,4))</f>
        <v/>
      </c>
      <c r="U427" s="38"/>
    </row>
    <row r="428" spans="1:21" ht="14.5" x14ac:dyDescent="0.35">
      <c r="A428" s="47" t="str">
        <f>IF('Salesforce Dump'!A425&lt;&gt;"",'Salesforce Dump'!A425,"")</f>
        <v/>
      </c>
      <c r="B428" s="48"/>
      <c r="C428" s="49" t="str">
        <f>IF('Salesforce Dump'!B425&lt;&gt;"",'Salesforce Dump'!B425,"")</f>
        <v/>
      </c>
      <c r="D428" s="48"/>
      <c r="E428" s="50" t="str">
        <f>IF('Salesforce Dump'!C425&lt;&gt;"",'Salesforce Dump'!C425,"")</f>
        <v/>
      </c>
      <c r="F428" s="49" t="str">
        <f>IF('Salesforce Dump'!D425&lt;&gt;"",'Salesforce Dump'!D425,"")</f>
        <v/>
      </c>
      <c r="G428" s="49" t="str">
        <f>IF('Salesforce Dump'!E425&lt;&gt;"",'Salesforce Dump'!E425,"")</f>
        <v/>
      </c>
      <c r="H428" s="49" t="str">
        <f>IF('Salesforce Dump'!G425&lt;&gt;"",'Salesforce Dump'!G425,"")</f>
        <v/>
      </c>
      <c r="I428" s="49" t="str">
        <f>IF('Salesforce Dump'!H425&lt;&gt;"",'Salesforce Dump'!H425,"")</f>
        <v/>
      </c>
      <c r="J428" s="51" t="str">
        <f>IF('Salesforce Dump'!I425&lt;&gt;"",'Salesforce Dump'!I425,"")</f>
        <v/>
      </c>
      <c r="K428" s="51" t="str">
        <f>IF('Salesforce Dump'!J425&lt;&gt;"",'Salesforce Dump'!J425,"")</f>
        <v/>
      </c>
      <c r="L428" s="52" t="str">
        <f>IFERROR(INDEX('OBA Dump'!C:C,MATCH($E428*1,'OBA Dump'!$A:$A,0)),"")</f>
        <v/>
      </c>
      <c r="M428" s="52" t="str">
        <f>IFERROR(INDEX('OBA Dump'!D:D,MATCH($E428*1,'OBA Dump'!$A:$A,0)),"")</f>
        <v/>
      </c>
      <c r="N428" s="52"/>
      <c r="O428" s="52"/>
      <c r="P428" s="53"/>
      <c r="Q428" s="52"/>
      <c r="R428" s="38" t="str">
        <f>_xlfn.IFNA(VLOOKUP(E428,'Pre-Booked Holidays'!A:B,2,0),"")</f>
        <v/>
      </c>
      <c r="S428" s="38" t="str">
        <f>IF(E428="","",IF(IFERROR(VLOOKUP(E428,'Onbase Report'!D:E,2,0),"")&lt;&gt;"","Details in Onbase","No Details"))</f>
        <v/>
      </c>
      <c r="T428" s="38" t="str">
        <f>IF(LEFT('Salesforce Dump'!Q425,5)="BHX10",LEFT('Salesforce Dump'!Q425,5),LEFT('Salesforce Dump'!Q425,4))</f>
        <v/>
      </c>
      <c r="U428" s="38"/>
    </row>
    <row r="429" spans="1:21" ht="14.5" x14ac:dyDescent="0.35">
      <c r="A429" s="47" t="str">
        <f>IF('Salesforce Dump'!A426&lt;&gt;"",'Salesforce Dump'!A426,"")</f>
        <v/>
      </c>
      <c r="B429" s="48"/>
      <c r="C429" s="49" t="str">
        <f>IF('Salesforce Dump'!B426&lt;&gt;"",'Salesforce Dump'!B426,"")</f>
        <v/>
      </c>
      <c r="D429" s="48"/>
      <c r="E429" s="50" t="str">
        <f>IF('Salesforce Dump'!C426&lt;&gt;"",'Salesforce Dump'!C426,"")</f>
        <v/>
      </c>
      <c r="F429" s="49" t="str">
        <f>IF('Salesforce Dump'!D426&lt;&gt;"",'Salesforce Dump'!D426,"")</f>
        <v/>
      </c>
      <c r="G429" s="49" t="str">
        <f>IF('Salesforce Dump'!E426&lt;&gt;"",'Salesforce Dump'!E426,"")</f>
        <v/>
      </c>
      <c r="H429" s="49" t="str">
        <f>IF('Salesforce Dump'!G426&lt;&gt;"",'Salesforce Dump'!G426,"")</f>
        <v/>
      </c>
      <c r="I429" s="49" t="str">
        <f>IF('Salesforce Dump'!H426&lt;&gt;"",'Salesforce Dump'!H426,"")</f>
        <v/>
      </c>
      <c r="J429" s="51" t="str">
        <f>IF('Salesforce Dump'!I426&lt;&gt;"",'Salesforce Dump'!I426,"")</f>
        <v/>
      </c>
      <c r="K429" s="51" t="str">
        <f>IF('Salesforce Dump'!J426&lt;&gt;"",'Salesforce Dump'!J426,"")</f>
        <v/>
      </c>
      <c r="L429" s="52" t="str">
        <f>IFERROR(INDEX('OBA Dump'!C:C,MATCH($E429*1,'OBA Dump'!$A:$A,0)),"")</f>
        <v/>
      </c>
      <c r="M429" s="52" t="str">
        <f>IFERROR(INDEX('OBA Dump'!D:D,MATCH($E429*1,'OBA Dump'!$A:$A,0)),"")</f>
        <v/>
      </c>
      <c r="N429" s="52"/>
      <c r="O429" s="52"/>
      <c r="P429" s="53"/>
      <c r="Q429" s="52"/>
      <c r="R429" s="38" t="str">
        <f>_xlfn.IFNA(VLOOKUP(E429,'Pre-Booked Holidays'!A:B,2,0),"")</f>
        <v/>
      </c>
      <c r="S429" s="38" t="str">
        <f>IF(E429="","",IF(IFERROR(VLOOKUP(E429,'Onbase Report'!D:E,2,0),"")&lt;&gt;"","Details in Onbase","No Details"))</f>
        <v/>
      </c>
      <c r="T429" s="38" t="str">
        <f>IF(LEFT('Salesforce Dump'!Q426,5)="BHX10",LEFT('Salesforce Dump'!Q426,5),LEFT('Salesforce Dump'!Q426,4))</f>
        <v/>
      </c>
      <c r="U429" s="38"/>
    </row>
    <row r="430" spans="1:21" ht="14.5" x14ac:dyDescent="0.35">
      <c r="A430" s="47" t="str">
        <f>IF('Salesforce Dump'!A427&lt;&gt;"",'Salesforce Dump'!A427,"")</f>
        <v/>
      </c>
      <c r="B430" s="48"/>
      <c r="C430" s="49" t="str">
        <f>IF('Salesforce Dump'!B427&lt;&gt;"",'Salesforce Dump'!B427,"")</f>
        <v/>
      </c>
      <c r="D430" s="48"/>
      <c r="E430" s="50" t="str">
        <f>IF('Salesforce Dump'!C427&lt;&gt;"",'Salesforce Dump'!C427,"")</f>
        <v/>
      </c>
      <c r="F430" s="49" t="str">
        <f>IF('Salesforce Dump'!D427&lt;&gt;"",'Salesforce Dump'!D427,"")</f>
        <v/>
      </c>
      <c r="G430" s="49" t="str">
        <f>IF('Salesforce Dump'!E427&lt;&gt;"",'Salesforce Dump'!E427,"")</f>
        <v/>
      </c>
      <c r="H430" s="49" t="str">
        <f>IF('Salesforce Dump'!G427&lt;&gt;"",'Salesforce Dump'!G427,"")</f>
        <v/>
      </c>
      <c r="I430" s="49" t="str">
        <f>IF('Salesforce Dump'!H427&lt;&gt;"",'Salesforce Dump'!H427,"")</f>
        <v/>
      </c>
      <c r="J430" s="51" t="str">
        <f>IF('Salesforce Dump'!I427&lt;&gt;"",'Salesforce Dump'!I427,"")</f>
        <v/>
      </c>
      <c r="K430" s="51" t="str">
        <f>IF('Salesforce Dump'!J427&lt;&gt;"",'Salesforce Dump'!J427,"")</f>
        <v/>
      </c>
      <c r="L430" s="52" t="str">
        <f>IFERROR(INDEX('OBA Dump'!C:C,MATCH($E430*1,'OBA Dump'!$A:$A,0)),"")</f>
        <v/>
      </c>
      <c r="M430" s="52" t="str">
        <f>IFERROR(INDEX('OBA Dump'!D:D,MATCH($E430*1,'OBA Dump'!$A:$A,0)),"")</f>
        <v/>
      </c>
      <c r="N430" s="52"/>
      <c r="O430" s="52"/>
      <c r="P430" s="53"/>
      <c r="Q430" s="52"/>
      <c r="R430" s="38" t="str">
        <f>_xlfn.IFNA(VLOOKUP(E430,'Pre-Booked Holidays'!A:B,2,0),"")</f>
        <v/>
      </c>
      <c r="S430" s="38" t="str">
        <f>IF(E430="","",IF(IFERROR(VLOOKUP(E430,'Onbase Report'!D:E,2,0),"")&lt;&gt;"","Details in Onbase","No Details"))</f>
        <v/>
      </c>
      <c r="T430" s="38" t="str">
        <f>IF(LEFT('Salesforce Dump'!Q427,5)="BHX10",LEFT('Salesforce Dump'!Q427,5),LEFT('Salesforce Dump'!Q427,4))</f>
        <v/>
      </c>
      <c r="U430" s="38"/>
    </row>
    <row r="431" spans="1:21" ht="14.5" x14ac:dyDescent="0.35">
      <c r="A431" s="47" t="str">
        <f>IF('Salesforce Dump'!A428&lt;&gt;"",'Salesforce Dump'!A428,"")</f>
        <v/>
      </c>
      <c r="B431" s="48"/>
      <c r="C431" s="49" t="str">
        <f>IF('Salesforce Dump'!B428&lt;&gt;"",'Salesforce Dump'!B428,"")</f>
        <v/>
      </c>
      <c r="D431" s="48"/>
      <c r="E431" s="50" t="str">
        <f>IF('Salesforce Dump'!C428&lt;&gt;"",'Salesforce Dump'!C428,"")</f>
        <v/>
      </c>
      <c r="F431" s="49" t="str">
        <f>IF('Salesforce Dump'!D428&lt;&gt;"",'Salesforce Dump'!D428,"")</f>
        <v/>
      </c>
      <c r="G431" s="49" t="str">
        <f>IF('Salesforce Dump'!E428&lt;&gt;"",'Salesforce Dump'!E428,"")</f>
        <v/>
      </c>
      <c r="H431" s="49" t="str">
        <f>IF('Salesforce Dump'!G428&lt;&gt;"",'Salesforce Dump'!G428,"")</f>
        <v/>
      </c>
      <c r="I431" s="49" t="str">
        <f>IF('Salesforce Dump'!H428&lt;&gt;"",'Salesforce Dump'!H428,"")</f>
        <v/>
      </c>
      <c r="J431" s="51" t="str">
        <f>IF('Salesforce Dump'!I428&lt;&gt;"",'Salesforce Dump'!I428,"")</f>
        <v/>
      </c>
      <c r="K431" s="51" t="str">
        <f>IF('Salesforce Dump'!J428&lt;&gt;"",'Salesforce Dump'!J428,"")</f>
        <v/>
      </c>
      <c r="L431" s="52" t="str">
        <f>IFERROR(INDEX('OBA Dump'!C:C,MATCH($E431*1,'OBA Dump'!$A:$A,0)),"")</f>
        <v/>
      </c>
      <c r="M431" s="52" t="str">
        <f>IFERROR(INDEX('OBA Dump'!D:D,MATCH($E431*1,'OBA Dump'!$A:$A,0)),"")</f>
        <v/>
      </c>
      <c r="N431" s="52"/>
      <c r="O431" s="52"/>
      <c r="P431" s="53"/>
      <c r="Q431" s="52"/>
      <c r="R431" s="38" t="str">
        <f>_xlfn.IFNA(VLOOKUP(E431,'Pre-Booked Holidays'!A:B,2,0),"")</f>
        <v/>
      </c>
      <c r="S431" s="38" t="str">
        <f>IF(E431="","",IF(IFERROR(VLOOKUP(E431,'Onbase Report'!D:E,2,0),"")&lt;&gt;"","Details in Onbase","No Details"))</f>
        <v/>
      </c>
      <c r="T431" s="38" t="str">
        <f>IF(LEFT('Salesforce Dump'!Q428,5)="BHX10",LEFT('Salesforce Dump'!Q428,5),LEFT('Salesforce Dump'!Q428,4))</f>
        <v/>
      </c>
      <c r="U431" s="38"/>
    </row>
    <row r="432" spans="1:21" ht="14.5" x14ac:dyDescent="0.35">
      <c r="A432" s="47" t="str">
        <f>IF('Salesforce Dump'!A429&lt;&gt;"",'Salesforce Dump'!A429,"")</f>
        <v/>
      </c>
      <c r="B432" s="48"/>
      <c r="C432" s="49" t="str">
        <f>IF('Salesforce Dump'!B429&lt;&gt;"",'Salesforce Dump'!B429,"")</f>
        <v/>
      </c>
      <c r="D432" s="48"/>
      <c r="E432" s="50" t="str">
        <f>IF('Salesforce Dump'!C429&lt;&gt;"",'Salesforce Dump'!C429,"")</f>
        <v/>
      </c>
      <c r="F432" s="49" t="str">
        <f>IF('Salesforce Dump'!D429&lt;&gt;"",'Salesforce Dump'!D429,"")</f>
        <v/>
      </c>
      <c r="G432" s="49" t="str">
        <f>IF('Salesforce Dump'!E429&lt;&gt;"",'Salesforce Dump'!E429,"")</f>
        <v/>
      </c>
      <c r="H432" s="49" t="str">
        <f>IF('Salesforce Dump'!G429&lt;&gt;"",'Salesforce Dump'!G429,"")</f>
        <v/>
      </c>
      <c r="I432" s="49" t="str">
        <f>IF('Salesforce Dump'!H429&lt;&gt;"",'Salesforce Dump'!H429,"")</f>
        <v/>
      </c>
      <c r="J432" s="51" t="str">
        <f>IF('Salesforce Dump'!I429&lt;&gt;"",'Salesforce Dump'!I429,"")</f>
        <v/>
      </c>
      <c r="K432" s="51" t="str">
        <f>IF('Salesforce Dump'!J429&lt;&gt;"",'Salesforce Dump'!J429,"")</f>
        <v/>
      </c>
      <c r="L432" s="52" t="str">
        <f>IFERROR(INDEX('OBA Dump'!C:C,MATCH($E432*1,'OBA Dump'!$A:$A,0)),"")</f>
        <v/>
      </c>
      <c r="M432" s="52" t="str">
        <f>IFERROR(INDEX('OBA Dump'!D:D,MATCH($E432*1,'OBA Dump'!$A:$A,0)),"")</f>
        <v/>
      </c>
      <c r="N432" s="52"/>
      <c r="O432" s="52"/>
      <c r="P432" s="53"/>
      <c r="Q432" s="52"/>
      <c r="R432" s="38" t="str">
        <f>_xlfn.IFNA(VLOOKUP(E432,'Pre-Booked Holidays'!A:B,2,0),"")</f>
        <v/>
      </c>
      <c r="S432" s="38" t="str">
        <f>IF(E432="","",IF(IFERROR(VLOOKUP(E432,'Onbase Report'!D:E,2,0),"")&lt;&gt;"","Details in Onbase","No Details"))</f>
        <v/>
      </c>
      <c r="T432" s="38" t="str">
        <f>IF(LEFT('Salesforce Dump'!Q429,5)="BHX10",LEFT('Salesforce Dump'!Q429,5),LEFT('Salesforce Dump'!Q429,4))</f>
        <v/>
      </c>
      <c r="U432" s="38"/>
    </row>
    <row r="433" spans="1:21" ht="14.5" x14ac:dyDescent="0.35">
      <c r="A433" s="47" t="str">
        <f>IF('Salesforce Dump'!A430&lt;&gt;"",'Salesforce Dump'!A430,"")</f>
        <v/>
      </c>
      <c r="B433" s="48"/>
      <c r="C433" s="49" t="str">
        <f>IF('Salesforce Dump'!B430&lt;&gt;"",'Salesforce Dump'!B430,"")</f>
        <v/>
      </c>
      <c r="D433" s="48"/>
      <c r="E433" s="50" t="str">
        <f>IF('Salesforce Dump'!C430&lt;&gt;"",'Salesforce Dump'!C430,"")</f>
        <v/>
      </c>
      <c r="F433" s="49" t="str">
        <f>IF('Salesforce Dump'!D430&lt;&gt;"",'Salesforce Dump'!D430,"")</f>
        <v/>
      </c>
      <c r="G433" s="49" t="str">
        <f>IF('Salesforce Dump'!E430&lt;&gt;"",'Salesforce Dump'!E430,"")</f>
        <v/>
      </c>
      <c r="H433" s="49" t="str">
        <f>IF('Salesforce Dump'!G430&lt;&gt;"",'Salesforce Dump'!G430,"")</f>
        <v/>
      </c>
      <c r="I433" s="49" t="str">
        <f>IF('Salesforce Dump'!H430&lt;&gt;"",'Salesforce Dump'!H430,"")</f>
        <v/>
      </c>
      <c r="J433" s="51" t="str">
        <f>IF('Salesforce Dump'!I430&lt;&gt;"",'Salesforce Dump'!I430,"")</f>
        <v/>
      </c>
      <c r="K433" s="51" t="str">
        <f>IF('Salesforce Dump'!J430&lt;&gt;"",'Salesforce Dump'!J430,"")</f>
        <v/>
      </c>
      <c r="L433" s="52" t="str">
        <f>IFERROR(INDEX('OBA Dump'!C:C,MATCH($E433*1,'OBA Dump'!$A:$A,0)),"")</f>
        <v/>
      </c>
      <c r="M433" s="52" t="str">
        <f>IFERROR(INDEX('OBA Dump'!D:D,MATCH($E433*1,'OBA Dump'!$A:$A,0)),"")</f>
        <v/>
      </c>
      <c r="N433" s="52"/>
      <c r="O433" s="52"/>
      <c r="P433" s="53"/>
      <c r="Q433" s="52"/>
      <c r="R433" s="38" t="str">
        <f>_xlfn.IFNA(VLOOKUP(E433,'Pre-Booked Holidays'!A:B,2,0),"")</f>
        <v/>
      </c>
      <c r="S433" s="38" t="str">
        <f>IF(E433="","",IF(IFERROR(VLOOKUP(E433,'Onbase Report'!D:E,2,0),"")&lt;&gt;"","Details in Onbase","No Details"))</f>
        <v/>
      </c>
      <c r="T433" s="38" t="str">
        <f>IF(LEFT('Salesforce Dump'!Q430,5)="BHX10",LEFT('Salesforce Dump'!Q430,5),LEFT('Salesforce Dump'!Q430,4))</f>
        <v/>
      </c>
      <c r="U433" s="38"/>
    </row>
    <row r="434" spans="1:21" ht="14.5" x14ac:dyDescent="0.35">
      <c r="A434" s="47" t="str">
        <f>IF('Salesforce Dump'!A431&lt;&gt;"",'Salesforce Dump'!A431,"")</f>
        <v/>
      </c>
      <c r="B434" s="48"/>
      <c r="C434" s="49" t="str">
        <f>IF('Salesforce Dump'!B431&lt;&gt;"",'Salesforce Dump'!B431,"")</f>
        <v/>
      </c>
      <c r="D434" s="48"/>
      <c r="E434" s="50" t="str">
        <f>IF('Salesforce Dump'!C431&lt;&gt;"",'Salesforce Dump'!C431,"")</f>
        <v/>
      </c>
      <c r="F434" s="49" t="str">
        <f>IF('Salesforce Dump'!D431&lt;&gt;"",'Salesforce Dump'!D431,"")</f>
        <v/>
      </c>
      <c r="G434" s="49" t="str">
        <f>IF('Salesforce Dump'!E431&lt;&gt;"",'Salesforce Dump'!E431,"")</f>
        <v/>
      </c>
      <c r="H434" s="49" t="str">
        <f>IF('Salesforce Dump'!G431&lt;&gt;"",'Salesforce Dump'!G431,"")</f>
        <v/>
      </c>
      <c r="I434" s="49" t="str">
        <f>IF('Salesforce Dump'!H431&lt;&gt;"",'Salesforce Dump'!H431,"")</f>
        <v/>
      </c>
      <c r="J434" s="51" t="str">
        <f>IF('Salesforce Dump'!I431&lt;&gt;"",'Salesforce Dump'!I431,"")</f>
        <v/>
      </c>
      <c r="K434" s="51" t="str">
        <f>IF('Salesforce Dump'!J431&lt;&gt;"",'Salesforce Dump'!J431,"")</f>
        <v/>
      </c>
      <c r="L434" s="52" t="str">
        <f>IFERROR(INDEX('OBA Dump'!C:C,MATCH($E434*1,'OBA Dump'!$A:$A,0)),"")</f>
        <v/>
      </c>
      <c r="M434" s="52" t="str">
        <f>IFERROR(INDEX('OBA Dump'!D:D,MATCH($E434*1,'OBA Dump'!$A:$A,0)),"")</f>
        <v/>
      </c>
      <c r="N434" s="52"/>
      <c r="O434" s="52"/>
      <c r="P434" s="53"/>
      <c r="Q434" s="52"/>
      <c r="R434" s="38" t="str">
        <f>_xlfn.IFNA(VLOOKUP(E434,'Pre-Booked Holidays'!A:B,2,0),"")</f>
        <v/>
      </c>
      <c r="S434" s="38" t="str">
        <f>IF(E434="","",IF(IFERROR(VLOOKUP(E434,'Onbase Report'!D:E,2,0),"")&lt;&gt;"","Details in Onbase","No Details"))</f>
        <v/>
      </c>
      <c r="T434" s="38" t="str">
        <f>IF(LEFT('Salesforce Dump'!Q431,5)="BHX10",LEFT('Salesforce Dump'!Q431,5),LEFT('Salesforce Dump'!Q431,4))</f>
        <v/>
      </c>
      <c r="U434" s="38"/>
    </row>
    <row r="435" spans="1:21" ht="14.5" x14ac:dyDescent="0.35">
      <c r="A435" s="47" t="str">
        <f>IF('Salesforce Dump'!A432&lt;&gt;"",'Salesforce Dump'!A432,"")</f>
        <v/>
      </c>
      <c r="B435" s="48"/>
      <c r="C435" s="49" t="str">
        <f>IF('Salesforce Dump'!B432&lt;&gt;"",'Salesforce Dump'!B432,"")</f>
        <v/>
      </c>
      <c r="D435" s="48"/>
      <c r="E435" s="50" t="str">
        <f>IF('Salesforce Dump'!C432&lt;&gt;"",'Salesforce Dump'!C432,"")</f>
        <v/>
      </c>
      <c r="F435" s="49" t="str">
        <f>IF('Salesforce Dump'!D432&lt;&gt;"",'Salesforce Dump'!D432,"")</f>
        <v/>
      </c>
      <c r="G435" s="49" t="str">
        <f>IF('Salesforce Dump'!E432&lt;&gt;"",'Salesforce Dump'!E432,"")</f>
        <v/>
      </c>
      <c r="H435" s="49" t="str">
        <f>IF('Salesforce Dump'!G432&lt;&gt;"",'Salesforce Dump'!G432,"")</f>
        <v/>
      </c>
      <c r="I435" s="49" t="str">
        <f>IF('Salesforce Dump'!H432&lt;&gt;"",'Salesforce Dump'!H432,"")</f>
        <v/>
      </c>
      <c r="J435" s="51" t="str">
        <f>IF('Salesforce Dump'!I432&lt;&gt;"",'Salesforce Dump'!I432,"")</f>
        <v/>
      </c>
      <c r="K435" s="51" t="str">
        <f>IF('Salesforce Dump'!J432&lt;&gt;"",'Salesforce Dump'!J432,"")</f>
        <v/>
      </c>
      <c r="L435" s="52" t="str">
        <f>IFERROR(INDEX('OBA Dump'!C:C,MATCH($E435*1,'OBA Dump'!$A:$A,0)),"")</f>
        <v/>
      </c>
      <c r="M435" s="52" t="str">
        <f>IFERROR(INDEX('OBA Dump'!D:D,MATCH($E435*1,'OBA Dump'!$A:$A,0)),"")</f>
        <v/>
      </c>
      <c r="N435" s="52"/>
      <c r="O435" s="52"/>
      <c r="P435" s="53"/>
      <c r="Q435" s="52"/>
      <c r="R435" s="38" t="str">
        <f>_xlfn.IFNA(VLOOKUP(E435,'Pre-Booked Holidays'!A:B,2,0),"")</f>
        <v/>
      </c>
      <c r="S435" s="38" t="str">
        <f>IF(E435="","",IF(IFERROR(VLOOKUP(E435,'Onbase Report'!D:E,2,0),"")&lt;&gt;"","Details in Onbase","No Details"))</f>
        <v/>
      </c>
      <c r="T435" s="38" t="str">
        <f>IF(LEFT('Salesforce Dump'!Q432,5)="BHX10",LEFT('Salesforce Dump'!Q432,5),LEFT('Salesforce Dump'!Q432,4))</f>
        <v/>
      </c>
      <c r="U435" s="38"/>
    </row>
    <row r="436" spans="1:21" ht="14.5" x14ac:dyDescent="0.35">
      <c r="A436" s="47" t="str">
        <f>IF('Salesforce Dump'!A433&lt;&gt;"",'Salesforce Dump'!A433,"")</f>
        <v/>
      </c>
      <c r="B436" s="48"/>
      <c r="C436" s="49" t="str">
        <f>IF('Salesforce Dump'!B433&lt;&gt;"",'Salesforce Dump'!B433,"")</f>
        <v/>
      </c>
      <c r="D436" s="48"/>
      <c r="E436" s="50" t="str">
        <f>IF('Salesforce Dump'!C433&lt;&gt;"",'Salesforce Dump'!C433,"")</f>
        <v/>
      </c>
      <c r="F436" s="49" t="str">
        <f>IF('Salesforce Dump'!D433&lt;&gt;"",'Salesforce Dump'!D433,"")</f>
        <v/>
      </c>
      <c r="G436" s="49" t="str">
        <f>IF('Salesforce Dump'!E433&lt;&gt;"",'Salesforce Dump'!E433,"")</f>
        <v/>
      </c>
      <c r="H436" s="49" t="str">
        <f>IF('Salesforce Dump'!G433&lt;&gt;"",'Salesforce Dump'!G433,"")</f>
        <v/>
      </c>
      <c r="I436" s="49" t="str">
        <f>IF('Salesforce Dump'!H433&lt;&gt;"",'Salesforce Dump'!H433,"")</f>
        <v/>
      </c>
      <c r="J436" s="51" t="str">
        <f>IF('Salesforce Dump'!I433&lt;&gt;"",'Salesforce Dump'!I433,"")</f>
        <v/>
      </c>
      <c r="K436" s="51" t="str">
        <f>IF('Salesforce Dump'!J433&lt;&gt;"",'Salesforce Dump'!J433,"")</f>
        <v/>
      </c>
      <c r="L436" s="52" t="str">
        <f>IFERROR(INDEX('OBA Dump'!C:C,MATCH($E436*1,'OBA Dump'!$A:$A,0)),"")</f>
        <v/>
      </c>
      <c r="M436" s="52" t="str">
        <f>IFERROR(INDEX('OBA Dump'!D:D,MATCH($E436*1,'OBA Dump'!$A:$A,0)),"")</f>
        <v/>
      </c>
      <c r="N436" s="52"/>
      <c r="O436" s="52"/>
      <c r="P436" s="53"/>
      <c r="Q436" s="52"/>
      <c r="R436" s="38" t="str">
        <f>_xlfn.IFNA(VLOOKUP(E436,'Pre-Booked Holidays'!A:B,2,0),"")</f>
        <v/>
      </c>
      <c r="S436" s="38" t="str">
        <f>IF(E436="","",IF(IFERROR(VLOOKUP(E436,'Onbase Report'!D:E,2,0),"")&lt;&gt;"","Details in Onbase","No Details"))</f>
        <v/>
      </c>
      <c r="T436" s="38" t="str">
        <f>IF(LEFT('Salesforce Dump'!Q433,5)="BHX10",LEFT('Salesforce Dump'!Q433,5),LEFT('Salesforce Dump'!Q433,4))</f>
        <v/>
      </c>
      <c r="U436" s="38"/>
    </row>
    <row r="437" spans="1:21" ht="14.5" x14ac:dyDescent="0.35">
      <c r="A437" s="47" t="str">
        <f>IF('Salesforce Dump'!A434&lt;&gt;"",'Salesforce Dump'!A434,"")</f>
        <v/>
      </c>
      <c r="B437" s="48"/>
      <c r="C437" s="49" t="str">
        <f>IF('Salesforce Dump'!B434&lt;&gt;"",'Salesforce Dump'!B434,"")</f>
        <v/>
      </c>
      <c r="D437" s="48"/>
      <c r="E437" s="50" t="str">
        <f>IF('Salesforce Dump'!C434&lt;&gt;"",'Salesforce Dump'!C434,"")</f>
        <v/>
      </c>
      <c r="F437" s="49" t="str">
        <f>IF('Salesforce Dump'!D434&lt;&gt;"",'Salesforce Dump'!D434,"")</f>
        <v/>
      </c>
      <c r="G437" s="49" t="str">
        <f>IF('Salesforce Dump'!E434&lt;&gt;"",'Salesforce Dump'!E434,"")</f>
        <v/>
      </c>
      <c r="H437" s="49" t="str">
        <f>IF('Salesforce Dump'!G434&lt;&gt;"",'Salesforce Dump'!G434,"")</f>
        <v/>
      </c>
      <c r="I437" s="49" t="str">
        <f>IF('Salesforce Dump'!H434&lt;&gt;"",'Salesforce Dump'!H434,"")</f>
        <v/>
      </c>
      <c r="J437" s="51" t="str">
        <f>IF('Salesforce Dump'!I434&lt;&gt;"",'Salesforce Dump'!I434,"")</f>
        <v/>
      </c>
      <c r="K437" s="51" t="str">
        <f>IF('Salesforce Dump'!J434&lt;&gt;"",'Salesforce Dump'!J434,"")</f>
        <v/>
      </c>
      <c r="L437" s="52" t="str">
        <f>IFERROR(INDEX('OBA Dump'!C:C,MATCH($E437*1,'OBA Dump'!$A:$A,0)),"")</f>
        <v/>
      </c>
      <c r="M437" s="52" t="str">
        <f>IFERROR(INDEX('OBA Dump'!D:D,MATCH($E437*1,'OBA Dump'!$A:$A,0)),"")</f>
        <v/>
      </c>
      <c r="N437" s="52"/>
      <c r="O437" s="52"/>
      <c r="P437" s="53"/>
      <c r="Q437" s="52"/>
      <c r="R437" s="38" t="str">
        <f>_xlfn.IFNA(VLOOKUP(E437,'Pre-Booked Holidays'!A:B,2,0),"")</f>
        <v/>
      </c>
      <c r="S437" s="38" t="str">
        <f>IF(E437="","",IF(IFERROR(VLOOKUP(E437,'Onbase Report'!D:E,2,0),"")&lt;&gt;"","Details in Onbase","No Details"))</f>
        <v/>
      </c>
      <c r="T437" s="38" t="str">
        <f>IF(LEFT('Salesforce Dump'!Q434,5)="BHX10",LEFT('Salesforce Dump'!Q434,5),LEFT('Salesforce Dump'!Q434,4))</f>
        <v/>
      </c>
      <c r="U437" s="38"/>
    </row>
    <row r="438" spans="1:21" ht="14.5" x14ac:dyDescent="0.35">
      <c r="A438" s="47" t="str">
        <f>IF('Salesforce Dump'!A435&lt;&gt;"",'Salesforce Dump'!A435,"")</f>
        <v/>
      </c>
      <c r="B438" s="48"/>
      <c r="C438" s="49" t="str">
        <f>IF('Salesforce Dump'!B435&lt;&gt;"",'Salesforce Dump'!B435,"")</f>
        <v/>
      </c>
      <c r="D438" s="48"/>
      <c r="E438" s="50" t="str">
        <f>IF('Salesforce Dump'!C435&lt;&gt;"",'Salesforce Dump'!C435,"")</f>
        <v/>
      </c>
      <c r="F438" s="49" t="str">
        <f>IF('Salesforce Dump'!D435&lt;&gt;"",'Salesforce Dump'!D435,"")</f>
        <v/>
      </c>
      <c r="G438" s="49" t="str">
        <f>IF('Salesforce Dump'!E435&lt;&gt;"",'Salesforce Dump'!E435,"")</f>
        <v/>
      </c>
      <c r="H438" s="49" t="str">
        <f>IF('Salesforce Dump'!G435&lt;&gt;"",'Salesforce Dump'!G435,"")</f>
        <v/>
      </c>
      <c r="I438" s="49" t="str">
        <f>IF('Salesforce Dump'!H435&lt;&gt;"",'Salesforce Dump'!H435,"")</f>
        <v/>
      </c>
      <c r="J438" s="51" t="str">
        <f>IF('Salesforce Dump'!I435&lt;&gt;"",'Salesforce Dump'!I435,"")</f>
        <v/>
      </c>
      <c r="K438" s="51" t="str">
        <f>IF('Salesforce Dump'!J435&lt;&gt;"",'Salesforce Dump'!J435,"")</f>
        <v/>
      </c>
      <c r="L438" s="52" t="str">
        <f>IFERROR(INDEX('OBA Dump'!C:C,MATCH($E438*1,'OBA Dump'!$A:$A,0)),"")</f>
        <v/>
      </c>
      <c r="M438" s="52" t="str">
        <f>IFERROR(INDEX('OBA Dump'!D:D,MATCH($E438*1,'OBA Dump'!$A:$A,0)),"")</f>
        <v/>
      </c>
      <c r="N438" s="52"/>
      <c r="O438" s="52"/>
      <c r="P438" s="53"/>
      <c r="Q438" s="52"/>
      <c r="R438" s="38" t="str">
        <f>_xlfn.IFNA(VLOOKUP(E438,'Pre-Booked Holidays'!A:B,2,0),"")</f>
        <v/>
      </c>
      <c r="S438" s="38" t="str">
        <f>IF(E438="","",IF(IFERROR(VLOOKUP(E438,'Onbase Report'!D:E,2,0),"")&lt;&gt;"","Details in Onbase","No Details"))</f>
        <v/>
      </c>
      <c r="T438" s="38" t="str">
        <f>IF(LEFT('Salesforce Dump'!Q435,5)="BHX10",LEFT('Salesforce Dump'!Q435,5),LEFT('Salesforce Dump'!Q435,4))</f>
        <v/>
      </c>
      <c r="U438" s="38"/>
    </row>
    <row r="439" spans="1:21" ht="14.5" x14ac:dyDescent="0.35">
      <c r="A439" s="47" t="str">
        <f>IF('Salesforce Dump'!A436&lt;&gt;"",'Salesforce Dump'!A436,"")</f>
        <v/>
      </c>
      <c r="B439" s="48"/>
      <c r="C439" s="49" t="str">
        <f>IF('Salesforce Dump'!B436&lt;&gt;"",'Salesforce Dump'!B436,"")</f>
        <v/>
      </c>
      <c r="D439" s="48"/>
      <c r="E439" s="50" t="str">
        <f>IF('Salesforce Dump'!C436&lt;&gt;"",'Salesforce Dump'!C436,"")</f>
        <v/>
      </c>
      <c r="F439" s="49" t="str">
        <f>IF('Salesforce Dump'!D436&lt;&gt;"",'Salesforce Dump'!D436,"")</f>
        <v/>
      </c>
      <c r="G439" s="49" t="str">
        <f>IF('Salesforce Dump'!E436&lt;&gt;"",'Salesforce Dump'!E436,"")</f>
        <v/>
      </c>
      <c r="H439" s="49" t="str">
        <f>IF('Salesforce Dump'!G436&lt;&gt;"",'Salesforce Dump'!G436,"")</f>
        <v/>
      </c>
      <c r="I439" s="49" t="str">
        <f>IF('Salesforce Dump'!H436&lt;&gt;"",'Salesforce Dump'!H436,"")</f>
        <v/>
      </c>
      <c r="J439" s="51" t="str">
        <f>IF('Salesforce Dump'!I436&lt;&gt;"",'Salesforce Dump'!I436,"")</f>
        <v/>
      </c>
      <c r="K439" s="51" t="str">
        <f>IF('Salesforce Dump'!J436&lt;&gt;"",'Salesforce Dump'!J436,"")</f>
        <v/>
      </c>
      <c r="L439" s="52" t="str">
        <f>IFERROR(INDEX('OBA Dump'!C:C,MATCH($E439*1,'OBA Dump'!$A:$A,0)),"")</f>
        <v/>
      </c>
      <c r="M439" s="52" t="str">
        <f>IFERROR(INDEX('OBA Dump'!D:D,MATCH($E439*1,'OBA Dump'!$A:$A,0)),"")</f>
        <v/>
      </c>
      <c r="N439" s="52"/>
      <c r="O439" s="52"/>
      <c r="P439" s="53"/>
      <c r="Q439" s="52"/>
      <c r="R439" s="38" t="str">
        <f>_xlfn.IFNA(VLOOKUP(E439,'Pre-Booked Holidays'!A:B,2,0),"")</f>
        <v/>
      </c>
      <c r="S439" s="38" t="str">
        <f>IF(E439="","",IF(IFERROR(VLOOKUP(E439,'Onbase Report'!D:E,2,0),"")&lt;&gt;"","Details in Onbase","No Details"))</f>
        <v/>
      </c>
      <c r="T439" s="38" t="str">
        <f>IF(LEFT('Salesforce Dump'!Q436,5)="BHX10",LEFT('Salesforce Dump'!Q436,5),LEFT('Salesforce Dump'!Q436,4))</f>
        <v/>
      </c>
      <c r="U439" s="38"/>
    </row>
    <row r="440" spans="1:21" ht="14.5" x14ac:dyDescent="0.35">
      <c r="A440" s="47" t="str">
        <f>IF('Salesforce Dump'!A437&lt;&gt;"",'Salesforce Dump'!A437,"")</f>
        <v/>
      </c>
      <c r="B440" s="48"/>
      <c r="C440" s="49" t="str">
        <f>IF('Salesforce Dump'!B437&lt;&gt;"",'Salesforce Dump'!B437,"")</f>
        <v/>
      </c>
      <c r="D440" s="48"/>
      <c r="E440" s="50" t="str">
        <f>IF('Salesforce Dump'!C437&lt;&gt;"",'Salesforce Dump'!C437,"")</f>
        <v/>
      </c>
      <c r="F440" s="49" t="str">
        <f>IF('Salesforce Dump'!D437&lt;&gt;"",'Salesforce Dump'!D437,"")</f>
        <v/>
      </c>
      <c r="G440" s="49" t="str">
        <f>IF('Salesforce Dump'!E437&lt;&gt;"",'Salesforce Dump'!E437,"")</f>
        <v/>
      </c>
      <c r="H440" s="49" t="str">
        <f>IF('Salesforce Dump'!G437&lt;&gt;"",'Salesforce Dump'!G437,"")</f>
        <v/>
      </c>
      <c r="I440" s="49" t="str">
        <f>IF('Salesforce Dump'!H437&lt;&gt;"",'Salesforce Dump'!H437,"")</f>
        <v/>
      </c>
      <c r="J440" s="51" t="str">
        <f>IF('Salesforce Dump'!I437&lt;&gt;"",'Salesforce Dump'!I437,"")</f>
        <v/>
      </c>
      <c r="K440" s="51" t="str">
        <f>IF('Salesforce Dump'!J437&lt;&gt;"",'Salesforce Dump'!J437,"")</f>
        <v/>
      </c>
      <c r="L440" s="52" t="str">
        <f>IFERROR(INDEX('OBA Dump'!C:C,MATCH($E440*1,'OBA Dump'!$A:$A,0)),"")</f>
        <v/>
      </c>
      <c r="M440" s="52" t="str">
        <f>IFERROR(INDEX('OBA Dump'!D:D,MATCH($E440*1,'OBA Dump'!$A:$A,0)),"")</f>
        <v/>
      </c>
      <c r="N440" s="52"/>
      <c r="O440" s="52"/>
      <c r="P440" s="53"/>
      <c r="Q440" s="52"/>
      <c r="R440" s="38" t="str">
        <f>_xlfn.IFNA(VLOOKUP(E440,'Pre-Booked Holidays'!A:B,2,0),"")</f>
        <v/>
      </c>
      <c r="S440" s="38" t="str">
        <f>IF(E440="","",IF(IFERROR(VLOOKUP(E440,'Onbase Report'!D:E,2,0),"")&lt;&gt;"","Details in Onbase","No Details"))</f>
        <v/>
      </c>
      <c r="T440" s="38" t="str">
        <f>IF(LEFT('Salesforce Dump'!Q437,5)="BHX10",LEFT('Salesforce Dump'!Q437,5),LEFT('Salesforce Dump'!Q437,4))</f>
        <v/>
      </c>
      <c r="U440" s="38"/>
    </row>
    <row r="441" spans="1:21" ht="14.5" x14ac:dyDescent="0.35">
      <c r="A441" s="47" t="str">
        <f>IF('Salesforce Dump'!A438&lt;&gt;"",'Salesforce Dump'!A438,"")</f>
        <v/>
      </c>
      <c r="B441" s="48"/>
      <c r="C441" s="49" t="str">
        <f>IF('Salesforce Dump'!B438&lt;&gt;"",'Salesforce Dump'!B438,"")</f>
        <v/>
      </c>
      <c r="D441" s="48"/>
      <c r="E441" s="50" t="str">
        <f>IF('Salesforce Dump'!C438&lt;&gt;"",'Salesforce Dump'!C438,"")</f>
        <v/>
      </c>
      <c r="F441" s="49" t="str">
        <f>IF('Salesforce Dump'!D438&lt;&gt;"",'Salesforce Dump'!D438,"")</f>
        <v/>
      </c>
      <c r="G441" s="49" t="str">
        <f>IF('Salesforce Dump'!E438&lt;&gt;"",'Salesforce Dump'!E438,"")</f>
        <v/>
      </c>
      <c r="H441" s="49" t="str">
        <f>IF('Salesforce Dump'!G438&lt;&gt;"",'Salesforce Dump'!G438,"")</f>
        <v/>
      </c>
      <c r="I441" s="49" t="str">
        <f>IF('Salesforce Dump'!H438&lt;&gt;"",'Salesforce Dump'!H438,"")</f>
        <v/>
      </c>
      <c r="J441" s="51" t="str">
        <f>IF('Salesforce Dump'!I438&lt;&gt;"",'Salesforce Dump'!I438,"")</f>
        <v/>
      </c>
      <c r="K441" s="51" t="str">
        <f>IF('Salesforce Dump'!J438&lt;&gt;"",'Salesforce Dump'!J438,"")</f>
        <v/>
      </c>
      <c r="L441" s="52" t="str">
        <f>IFERROR(INDEX('OBA Dump'!C:C,MATCH($E441*1,'OBA Dump'!$A:$A,0)),"")</f>
        <v/>
      </c>
      <c r="M441" s="52" t="str">
        <f>IFERROR(INDEX('OBA Dump'!D:D,MATCH($E441*1,'OBA Dump'!$A:$A,0)),"")</f>
        <v/>
      </c>
      <c r="N441" s="52"/>
      <c r="O441" s="52"/>
      <c r="P441" s="53"/>
      <c r="Q441" s="52"/>
      <c r="R441" s="38" t="str">
        <f>_xlfn.IFNA(VLOOKUP(E441,'Pre-Booked Holidays'!A:B,2,0),"")</f>
        <v/>
      </c>
      <c r="S441" s="38" t="str">
        <f>IF(E441="","",IF(IFERROR(VLOOKUP(E441,'Onbase Report'!D:E,2,0),"")&lt;&gt;"","Details in Onbase","No Details"))</f>
        <v/>
      </c>
      <c r="T441" s="38" t="str">
        <f>IF(LEFT('Salesforce Dump'!Q438,5)="BHX10",LEFT('Salesforce Dump'!Q438,5),LEFT('Salesforce Dump'!Q438,4))</f>
        <v/>
      </c>
      <c r="U441" s="38"/>
    </row>
    <row r="442" spans="1:21" ht="14.5" x14ac:dyDescent="0.35">
      <c r="A442" s="47" t="str">
        <f>IF('Salesforce Dump'!A439&lt;&gt;"",'Salesforce Dump'!A439,"")</f>
        <v/>
      </c>
      <c r="B442" s="48"/>
      <c r="C442" s="49" t="str">
        <f>IF('Salesforce Dump'!B439&lt;&gt;"",'Salesforce Dump'!B439,"")</f>
        <v/>
      </c>
      <c r="D442" s="48"/>
      <c r="E442" s="50" t="str">
        <f>IF('Salesforce Dump'!C439&lt;&gt;"",'Salesforce Dump'!C439,"")</f>
        <v/>
      </c>
      <c r="F442" s="49" t="str">
        <f>IF('Salesforce Dump'!D439&lt;&gt;"",'Salesforce Dump'!D439,"")</f>
        <v/>
      </c>
      <c r="G442" s="49" t="str">
        <f>IF('Salesforce Dump'!E439&lt;&gt;"",'Salesforce Dump'!E439,"")</f>
        <v/>
      </c>
      <c r="H442" s="49" t="str">
        <f>IF('Salesforce Dump'!G439&lt;&gt;"",'Salesforce Dump'!G439,"")</f>
        <v/>
      </c>
      <c r="I442" s="49" t="str">
        <f>IF('Salesforce Dump'!H439&lt;&gt;"",'Salesforce Dump'!H439,"")</f>
        <v/>
      </c>
      <c r="J442" s="51" t="str">
        <f>IF('Salesforce Dump'!I439&lt;&gt;"",'Salesforce Dump'!I439,"")</f>
        <v/>
      </c>
      <c r="K442" s="51" t="str">
        <f>IF('Salesforce Dump'!J439&lt;&gt;"",'Salesforce Dump'!J439,"")</f>
        <v/>
      </c>
      <c r="L442" s="52" t="str">
        <f>IFERROR(INDEX('OBA Dump'!C:C,MATCH($E442*1,'OBA Dump'!$A:$A,0)),"")</f>
        <v/>
      </c>
      <c r="M442" s="52" t="str">
        <f>IFERROR(INDEX('OBA Dump'!D:D,MATCH($E442*1,'OBA Dump'!$A:$A,0)),"")</f>
        <v/>
      </c>
      <c r="N442" s="52"/>
      <c r="O442" s="52"/>
      <c r="P442" s="53"/>
      <c r="Q442" s="52"/>
      <c r="R442" s="38" t="str">
        <f>_xlfn.IFNA(VLOOKUP(E442,'Pre-Booked Holidays'!A:B,2,0),"")</f>
        <v/>
      </c>
      <c r="S442" s="38" t="str">
        <f>IF(E442="","",IF(IFERROR(VLOOKUP(E442,'Onbase Report'!D:E,2,0),"")&lt;&gt;"","Details in Onbase","No Details"))</f>
        <v/>
      </c>
      <c r="T442" s="38" t="str">
        <f>IF(LEFT('Salesforce Dump'!Q439,5)="BHX10",LEFT('Salesforce Dump'!Q439,5),LEFT('Salesforce Dump'!Q439,4))</f>
        <v/>
      </c>
      <c r="U442" s="38"/>
    </row>
    <row r="443" spans="1:21" ht="14.5" x14ac:dyDescent="0.35">
      <c r="A443" s="47" t="str">
        <f>IF('Salesforce Dump'!A440&lt;&gt;"",'Salesforce Dump'!A440,"")</f>
        <v/>
      </c>
      <c r="B443" s="48"/>
      <c r="C443" s="49" t="str">
        <f>IF('Salesforce Dump'!B440&lt;&gt;"",'Salesforce Dump'!B440,"")</f>
        <v/>
      </c>
      <c r="D443" s="48"/>
      <c r="E443" s="50" t="str">
        <f>IF('Salesforce Dump'!C440&lt;&gt;"",'Salesforce Dump'!C440,"")</f>
        <v/>
      </c>
      <c r="F443" s="49" t="str">
        <f>IF('Salesforce Dump'!D440&lt;&gt;"",'Salesforce Dump'!D440,"")</f>
        <v/>
      </c>
      <c r="G443" s="49" t="str">
        <f>IF('Salesforce Dump'!E440&lt;&gt;"",'Salesforce Dump'!E440,"")</f>
        <v/>
      </c>
      <c r="H443" s="49" t="str">
        <f>IF('Salesforce Dump'!G440&lt;&gt;"",'Salesforce Dump'!G440,"")</f>
        <v/>
      </c>
      <c r="I443" s="49" t="str">
        <f>IF('Salesforce Dump'!H440&lt;&gt;"",'Salesforce Dump'!H440,"")</f>
        <v/>
      </c>
      <c r="J443" s="51" t="str">
        <f>IF('Salesforce Dump'!I440&lt;&gt;"",'Salesforce Dump'!I440,"")</f>
        <v/>
      </c>
      <c r="K443" s="51" t="str">
        <f>IF('Salesforce Dump'!J440&lt;&gt;"",'Salesforce Dump'!J440,"")</f>
        <v/>
      </c>
      <c r="L443" s="52" t="str">
        <f>IFERROR(INDEX('OBA Dump'!C:C,MATCH($E443*1,'OBA Dump'!$A:$A,0)),"")</f>
        <v/>
      </c>
      <c r="M443" s="52" t="str">
        <f>IFERROR(INDEX('OBA Dump'!D:D,MATCH($E443*1,'OBA Dump'!$A:$A,0)),"")</f>
        <v/>
      </c>
      <c r="N443" s="52"/>
      <c r="O443" s="52"/>
      <c r="P443" s="53"/>
      <c r="Q443" s="52"/>
      <c r="R443" s="38" t="str">
        <f>_xlfn.IFNA(VLOOKUP(E443,'Pre-Booked Holidays'!A:B,2,0),"")</f>
        <v/>
      </c>
      <c r="S443" s="38" t="str">
        <f>IF(E443="","",IF(IFERROR(VLOOKUP(E443,'Onbase Report'!D:E,2,0),"")&lt;&gt;"","Details in Onbase","No Details"))</f>
        <v/>
      </c>
      <c r="T443" s="38" t="str">
        <f>IF(LEFT('Salesforce Dump'!Q440,5)="BHX10",LEFT('Salesforce Dump'!Q440,5),LEFT('Salesforce Dump'!Q440,4))</f>
        <v/>
      </c>
      <c r="U443" s="38"/>
    </row>
    <row r="444" spans="1:21" ht="14.5" x14ac:dyDescent="0.35">
      <c r="A444" s="47" t="str">
        <f>IF('Salesforce Dump'!A441&lt;&gt;"",'Salesforce Dump'!A441,"")</f>
        <v/>
      </c>
      <c r="B444" s="48"/>
      <c r="C444" s="49" t="str">
        <f>IF('Salesforce Dump'!B441&lt;&gt;"",'Salesforce Dump'!B441,"")</f>
        <v/>
      </c>
      <c r="D444" s="48"/>
      <c r="E444" s="50" t="str">
        <f>IF('Salesforce Dump'!C441&lt;&gt;"",'Salesforce Dump'!C441,"")</f>
        <v/>
      </c>
      <c r="F444" s="49" t="str">
        <f>IF('Salesforce Dump'!D441&lt;&gt;"",'Salesforce Dump'!D441,"")</f>
        <v/>
      </c>
      <c r="G444" s="49" t="str">
        <f>IF('Salesforce Dump'!E441&lt;&gt;"",'Salesforce Dump'!E441,"")</f>
        <v/>
      </c>
      <c r="H444" s="49" t="str">
        <f>IF('Salesforce Dump'!G441&lt;&gt;"",'Salesforce Dump'!G441,"")</f>
        <v/>
      </c>
      <c r="I444" s="49" t="str">
        <f>IF('Salesforce Dump'!H441&lt;&gt;"",'Salesforce Dump'!H441,"")</f>
        <v/>
      </c>
      <c r="J444" s="51" t="str">
        <f>IF('Salesforce Dump'!I441&lt;&gt;"",'Salesforce Dump'!I441,"")</f>
        <v/>
      </c>
      <c r="K444" s="51" t="str">
        <f>IF('Salesforce Dump'!J441&lt;&gt;"",'Salesforce Dump'!J441,"")</f>
        <v/>
      </c>
      <c r="L444" s="52" t="str">
        <f>IFERROR(INDEX('OBA Dump'!C:C,MATCH($E444*1,'OBA Dump'!$A:$A,0)),"")</f>
        <v/>
      </c>
      <c r="M444" s="52" t="str">
        <f>IFERROR(INDEX('OBA Dump'!D:D,MATCH($E444*1,'OBA Dump'!$A:$A,0)),"")</f>
        <v/>
      </c>
      <c r="N444" s="52"/>
      <c r="O444" s="52"/>
      <c r="P444" s="53"/>
      <c r="Q444" s="52"/>
      <c r="R444" s="38" t="str">
        <f>_xlfn.IFNA(VLOOKUP(E444,'Pre-Booked Holidays'!A:B,2,0),"")</f>
        <v/>
      </c>
      <c r="S444" s="38" t="str">
        <f>IF(E444="","",IF(IFERROR(VLOOKUP(E444,'Onbase Report'!D:E,2,0),"")&lt;&gt;"","Details in Onbase","No Details"))</f>
        <v/>
      </c>
      <c r="T444" s="38" t="str">
        <f>IF(LEFT('Salesforce Dump'!Q441,5)="BHX10",LEFT('Salesforce Dump'!Q441,5),LEFT('Salesforce Dump'!Q441,4))</f>
        <v/>
      </c>
      <c r="U444" s="38"/>
    </row>
    <row r="445" spans="1:21" ht="14.5" x14ac:dyDescent="0.35">
      <c r="A445" s="47" t="str">
        <f>IF('Salesforce Dump'!A442&lt;&gt;"",'Salesforce Dump'!A442,"")</f>
        <v/>
      </c>
      <c r="B445" s="48"/>
      <c r="C445" s="49" t="str">
        <f>IF('Salesforce Dump'!B442&lt;&gt;"",'Salesforce Dump'!B442,"")</f>
        <v/>
      </c>
      <c r="D445" s="48"/>
      <c r="E445" s="50" t="str">
        <f>IF('Salesforce Dump'!C442&lt;&gt;"",'Salesforce Dump'!C442,"")</f>
        <v/>
      </c>
      <c r="F445" s="49" t="str">
        <f>IF('Salesforce Dump'!D442&lt;&gt;"",'Salesforce Dump'!D442,"")</f>
        <v/>
      </c>
      <c r="G445" s="49" t="str">
        <f>IF('Salesforce Dump'!E442&lt;&gt;"",'Salesforce Dump'!E442,"")</f>
        <v/>
      </c>
      <c r="H445" s="49" t="str">
        <f>IF('Salesforce Dump'!G442&lt;&gt;"",'Salesforce Dump'!G442,"")</f>
        <v/>
      </c>
      <c r="I445" s="49" t="str">
        <f>IF('Salesforce Dump'!H442&lt;&gt;"",'Salesforce Dump'!H442,"")</f>
        <v/>
      </c>
      <c r="J445" s="51" t="str">
        <f>IF('Salesforce Dump'!I442&lt;&gt;"",'Salesforce Dump'!I442,"")</f>
        <v/>
      </c>
      <c r="K445" s="51" t="str">
        <f>IF('Salesforce Dump'!J442&lt;&gt;"",'Salesforce Dump'!J442,"")</f>
        <v/>
      </c>
      <c r="L445" s="52" t="str">
        <f>IFERROR(INDEX('OBA Dump'!C:C,MATCH($E445*1,'OBA Dump'!$A:$A,0)),"")</f>
        <v/>
      </c>
      <c r="M445" s="52" t="str">
        <f>IFERROR(INDEX('OBA Dump'!D:D,MATCH($E445*1,'OBA Dump'!$A:$A,0)),"")</f>
        <v/>
      </c>
      <c r="N445" s="52"/>
      <c r="O445" s="52"/>
      <c r="P445" s="53"/>
      <c r="Q445" s="52"/>
      <c r="R445" s="38" t="str">
        <f>_xlfn.IFNA(VLOOKUP(E445,'Pre-Booked Holidays'!A:B,2,0),"")</f>
        <v/>
      </c>
      <c r="S445" s="38" t="str">
        <f>IF(E445="","",IF(IFERROR(VLOOKUP(E445,'Onbase Report'!D:E,2,0),"")&lt;&gt;"","Details in Onbase","No Details"))</f>
        <v/>
      </c>
      <c r="T445" s="38" t="str">
        <f>IF(LEFT('Salesforce Dump'!Q442,5)="BHX10",LEFT('Salesforce Dump'!Q442,5),LEFT('Salesforce Dump'!Q442,4))</f>
        <v/>
      </c>
      <c r="U445" s="38"/>
    </row>
    <row r="446" spans="1:21" ht="14.5" x14ac:dyDescent="0.35">
      <c r="A446" s="47" t="str">
        <f>IF('Salesforce Dump'!A443&lt;&gt;"",'Salesforce Dump'!A443,"")</f>
        <v/>
      </c>
      <c r="B446" s="48"/>
      <c r="C446" s="49" t="str">
        <f>IF('Salesforce Dump'!B443&lt;&gt;"",'Salesforce Dump'!B443,"")</f>
        <v/>
      </c>
      <c r="D446" s="48"/>
      <c r="E446" s="50" t="str">
        <f>IF('Salesforce Dump'!C443&lt;&gt;"",'Salesforce Dump'!C443,"")</f>
        <v/>
      </c>
      <c r="F446" s="49" t="str">
        <f>IF('Salesforce Dump'!D443&lt;&gt;"",'Salesforce Dump'!D443,"")</f>
        <v/>
      </c>
      <c r="G446" s="49" t="str">
        <f>IF('Salesforce Dump'!E443&lt;&gt;"",'Salesforce Dump'!E443,"")</f>
        <v/>
      </c>
      <c r="H446" s="49" t="str">
        <f>IF('Salesforce Dump'!G443&lt;&gt;"",'Salesforce Dump'!G443,"")</f>
        <v/>
      </c>
      <c r="I446" s="49" t="str">
        <f>IF('Salesforce Dump'!H443&lt;&gt;"",'Salesforce Dump'!H443,"")</f>
        <v/>
      </c>
      <c r="J446" s="51" t="str">
        <f>IF('Salesforce Dump'!I443&lt;&gt;"",'Salesforce Dump'!I443,"")</f>
        <v/>
      </c>
      <c r="K446" s="51" t="str">
        <f>IF('Salesforce Dump'!J443&lt;&gt;"",'Salesforce Dump'!J443,"")</f>
        <v/>
      </c>
      <c r="L446" s="52" t="str">
        <f>IFERROR(INDEX('OBA Dump'!C:C,MATCH($E446*1,'OBA Dump'!$A:$A,0)),"")</f>
        <v/>
      </c>
      <c r="M446" s="52" t="str">
        <f>IFERROR(INDEX('OBA Dump'!D:D,MATCH($E446*1,'OBA Dump'!$A:$A,0)),"")</f>
        <v/>
      </c>
      <c r="N446" s="52"/>
      <c r="O446" s="52"/>
      <c r="P446" s="53"/>
      <c r="Q446" s="52"/>
      <c r="R446" s="38" t="str">
        <f>_xlfn.IFNA(VLOOKUP(E446,'Pre-Booked Holidays'!A:B,2,0),"")</f>
        <v/>
      </c>
      <c r="S446" s="38" t="str">
        <f>IF(E446="","",IF(IFERROR(VLOOKUP(E446,'Onbase Report'!D:E,2,0),"")&lt;&gt;"","Details in Onbase","No Details"))</f>
        <v/>
      </c>
      <c r="T446" s="38" t="str">
        <f>IF(LEFT('Salesforce Dump'!Q443,5)="BHX10",LEFT('Salesforce Dump'!Q443,5),LEFT('Salesforce Dump'!Q443,4))</f>
        <v/>
      </c>
      <c r="U446" s="38"/>
    </row>
    <row r="447" spans="1:21" ht="14.5" x14ac:dyDescent="0.35">
      <c r="A447" s="47" t="str">
        <f>IF('Salesforce Dump'!A444&lt;&gt;"",'Salesforce Dump'!A444,"")</f>
        <v/>
      </c>
      <c r="B447" s="48"/>
      <c r="C447" s="49" t="str">
        <f>IF('Salesforce Dump'!B444&lt;&gt;"",'Salesforce Dump'!B444,"")</f>
        <v/>
      </c>
      <c r="D447" s="48"/>
      <c r="E447" s="50" t="str">
        <f>IF('Salesforce Dump'!C444&lt;&gt;"",'Salesforce Dump'!C444,"")</f>
        <v/>
      </c>
      <c r="F447" s="49" t="str">
        <f>IF('Salesforce Dump'!D444&lt;&gt;"",'Salesforce Dump'!D444,"")</f>
        <v/>
      </c>
      <c r="G447" s="49" t="str">
        <f>IF('Salesforce Dump'!E444&lt;&gt;"",'Salesforce Dump'!E444,"")</f>
        <v/>
      </c>
      <c r="H447" s="49" t="str">
        <f>IF('Salesforce Dump'!G444&lt;&gt;"",'Salesforce Dump'!G444,"")</f>
        <v/>
      </c>
      <c r="I447" s="49" t="str">
        <f>IF('Salesforce Dump'!H444&lt;&gt;"",'Salesforce Dump'!H444,"")</f>
        <v/>
      </c>
      <c r="J447" s="51" t="str">
        <f>IF('Salesforce Dump'!I444&lt;&gt;"",'Salesforce Dump'!I444,"")</f>
        <v/>
      </c>
      <c r="K447" s="51" t="str">
        <f>IF('Salesforce Dump'!J444&lt;&gt;"",'Salesforce Dump'!J444,"")</f>
        <v/>
      </c>
      <c r="L447" s="52" t="str">
        <f>IFERROR(INDEX('OBA Dump'!C:C,MATCH($E447*1,'OBA Dump'!$A:$A,0)),"")</f>
        <v/>
      </c>
      <c r="M447" s="52" t="str">
        <f>IFERROR(INDEX('OBA Dump'!D:D,MATCH($E447*1,'OBA Dump'!$A:$A,0)),"")</f>
        <v/>
      </c>
      <c r="N447" s="52"/>
      <c r="O447" s="52"/>
      <c r="P447" s="53"/>
      <c r="Q447" s="52"/>
      <c r="R447" s="38" t="str">
        <f>_xlfn.IFNA(VLOOKUP(E447,'Pre-Booked Holidays'!A:B,2,0),"")</f>
        <v/>
      </c>
      <c r="S447" s="38" t="str">
        <f>IF(E447="","",IF(IFERROR(VLOOKUP(E447,'Onbase Report'!D:E,2,0),"")&lt;&gt;"","Details in Onbase","No Details"))</f>
        <v/>
      </c>
      <c r="T447" s="38" t="str">
        <f>IF(LEFT('Salesforce Dump'!Q444,5)="BHX10",LEFT('Salesforce Dump'!Q444,5),LEFT('Salesforce Dump'!Q444,4))</f>
        <v/>
      </c>
      <c r="U447" s="38"/>
    </row>
    <row r="448" spans="1:21" ht="14.5" x14ac:dyDescent="0.35">
      <c r="A448" s="47" t="str">
        <f>IF('Salesforce Dump'!A445&lt;&gt;"",'Salesforce Dump'!A445,"")</f>
        <v/>
      </c>
      <c r="B448" s="48"/>
      <c r="C448" s="49" t="str">
        <f>IF('Salesforce Dump'!B445&lt;&gt;"",'Salesforce Dump'!B445,"")</f>
        <v/>
      </c>
      <c r="D448" s="48"/>
      <c r="E448" s="50" t="str">
        <f>IF('Salesforce Dump'!C445&lt;&gt;"",'Salesforce Dump'!C445,"")</f>
        <v/>
      </c>
      <c r="F448" s="49" t="str">
        <f>IF('Salesforce Dump'!D445&lt;&gt;"",'Salesforce Dump'!D445,"")</f>
        <v/>
      </c>
      <c r="G448" s="49" t="str">
        <f>IF('Salesforce Dump'!E445&lt;&gt;"",'Salesforce Dump'!E445,"")</f>
        <v/>
      </c>
      <c r="H448" s="49" t="str">
        <f>IF('Salesforce Dump'!G445&lt;&gt;"",'Salesforce Dump'!G445,"")</f>
        <v/>
      </c>
      <c r="I448" s="49" t="str">
        <f>IF('Salesforce Dump'!H445&lt;&gt;"",'Salesforce Dump'!H445,"")</f>
        <v/>
      </c>
      <c r="J448" s="51" t="str">
        <f>IF('Salesforce Dump'!I445&lt;&gt;"",'Salesforce Dump'!I445,"")</f>
        <v/>
      </c>
      <c r="K448" s="51" t="str">
        <f>IF('Salesforce Dump'!J445&lt;&gt;"",'Salesforce Dump'!J445,"")</f>
        <v/>
      </c>
      <c r="L448" s="52" t="str">
        <f>IFERROR(INDEX('OBA Dump'!C:C,MATCH($E448*1,'OBA Dump'!$A:$A,0)),"")</f>
        <v/>
      </c>
      <c r="M448" s="52" t="str">
        <f>IFERROR(INDEX('OBA Dump'!D:D,MATCH($E448*1,'OBA Dump'!$A:$A,0)),"")</f>
        <v/>
      </c>
      <c r="N448" s="52"/>
      <c r="O448" s="52"/>
      <c r="P448" s="53"/>
      <c r="Q448" s="52"/>
      <c r="R448" s="38" t="str">
        <f>_xlfn.IFNA(VLOOKUP(E448,'Pre-Booked Holidays'!A:B,2,0),"")</f>
        <v/>
      </c>
      <c r="S448" s="38" t="str">
        <f>IF(E448="","",IF(IFERROR(VLOOKUP(E448,'Onbase Report'!D:E,2,0),"")&lt;&gt;"","Details in Onbase","No Details"))</f>
        <v/>
      </c>
      <c r="T448" s="38" t="str">
        <f>IF(LEFT('Salesforce Dump'!Q445,5)="BHX10",LEFT('Salesforce Dump'!Q445,5),LEFT('Salesforce Dump'!Q445,4))</f>
        <v/>
      </c>
      <c r="U448" s="38"/>
    </row>
    <row r="449" spans="1:21" ht="14.5" x14ac:dyDescent="0.35">
      <c r="A449" s="47" t="str">
        <f>IF('Salesforce Dump'!A446&lt;&gt;"",'Salesforce Dump'!A446,"")</f>
        <v/>
      </c>
      <c r="B449" s="48"/>
      <c r="C449" s="49" t="str">
        <f>IF('Salesforce Dump'!B446&lt;&gt;"",'Salesforce Dump'!B446,"")</f>
        <v/>
      </c>
      <c r="D449" s="48"/>
      <c r="E449" s="50" t="str">
        <f>IF('Salesforce Dump'!C446&lt;&gt;"",'Salesforce Dump'!C446,"")</f>
        <v/>
      </c>
      <c r="F449" s="49" t="str">
        <f>IF('Salesforce Dump'!D446&lt;&gt;"",'Salesforce Dump'!D446,"")</f>
        <v/>
      </c>
      <c r="G449" s="49" t="str">
        <f>IF('Salesforce Dump'!E446&lt;&gt;"",'Salesforce Dump'!E446,"")</f>
        <v/>
      </c>
      <c r="H449" s="49" t="str">
        <f>IF('Salesforce Dump'!G446&lt;&gt;"",'Salesforce Dump'!G446,"")</f>
        <v/>
      </c>
      <c r="I449" s="49" t="str">
        <f>IF('Salesforce Dump'!H446&lt;&gt;"",'Salesforce Dump'!H446,"")</f>
        <v/>
      </c>
      <c r="J449" s="51" t="str">
        <f>IF('Salesforce Dump'!I446&lt;&gt;"",'Salesforce Dump'!I446,"")</f>
        <v/>
      </c>
      <c r="K449" s="51" t="str">
        <f>IF('Salesforce Dump'!J446&lt;&gt;"",'Salesforce Dump'!J446,"")</f>
        <v/>
      </c>
      <c r="L449" s="52" t="str">
        <f>IFERROR(INDEX('OBA Dump'!C:C,MATCH($E449*1,'OBA Dump'!$A:$A,0)),"")</f>
        <v/>
      </c>
      <c r="M449" s="52" t="str">
        <f>IFERROR(INDEX('OBA Dump'!D:D,MATCH($E449*1,'OBA Dump'!$A:$A,0)),"")</f>
        <v/>
      </c>
      <c r="N449" s="52"/>
      <c r="O449" s="52"/>
      <c r="P449" s="53"/>
      <c r="Q449" s="52"/>
      <c r="R449" s="38" t="str">
        <f>_xlfn.IFNA(VLOOKUP(E449,'Pre-Booked Holidays'!A:B,2,0),"")</f>
        <v/>
      </c>
      <c r="S449" s="38" t="str">
        <f>IF(E449="","",IF(IFERROR(VLOOKUP(E449,'Onbase Report'!D:E,2,0),"")&lt;&gt;"","Details in Onbase","No Details"))</f>
        <v/>
      </c>
      <c r="T449" s="38" t="str">
        <f>IF(LEFT('Salesforce Dump'!Q446,5)="BHX10",LEFT('Salesforce Dump'!Q446,5),LEFT('Salesforce Dump'!Q446,4))</f>
        <v/>
      </c>
      <c r="U449" s="38"/>
    </row>
    <row r="450" spans="1:21" ht="14.5" x14ac:dyDescent="0.35">
      <c r="A450" s="47" t="str">
        <f>IF('Salesforce Dump'!A447&lt;&gt;"",'Salesforce Dump'!A447,"")</f>
        <v/>
      </c>
      <c r="B450" s="48"/>
      <c r="C450" s="49" t="str">
        <f>IF('Salesforce Dump'!B447&lt;&gt;"",'Salesforce Dump'!B447,"")</f>
        <v/>
      </c>
      <c r="D450" s="48"/>
      <c r="E450" s="50" t="str">
        <f>IF('Salesforce Dump'!C447&lt;&gt;"",'Salesforce Dump'!C447,"")</f>
        <v/>
      </c>
      <c r="F450" s="49" t="str">
        <f>IF('Salesforce Dump'!D447&lt;&gt;"",'Salesforce Dump'!D447,"")</f>
        <v/>
      </c>
      <c r="G450" s="49" t="str">
        <f>IF('Salesforce Dump'!E447&lt;&gt;"",'Salesforce Dump'!E447,"")</f>
        <v/>
      </c>
      <c r="H450" s="49" t="str">
        <f>IF('Salesforce Dump'!G447&lt;&gt;"",'Salesforce Dump'!G447,"")</f>
        <v/>
      </c>
      <c r="I450" s="49" t="str">
        <f>IF('Salesforce Dump'!H447&lt;&gt;"",'Salesforce Dump'!H447,"")</f>
        <v/>
      </c>
      <c r="J450" s="51" t="str">
        <f>IF('Salesforce Dump'!I447&lt;&gt;"",'Salesforce Dump'!I447,"")</f>
        <v/>
      </c>
      <c r="K450" s="51" t="str">
        <f>IF('Salesforce Dump'!J447&lt;&gt;"",'Salesforce Dump'!J447,"")</f>
        <v/>
      </c>
      <c r="L450" s="52" t="str">
        <f>IFERROR(INDEX('OBA Dump'!C:C,MATCH($E450*1,'OBA Dump'!$A:$A,0)),"")</f>
        <v/>
      </c>
      <c r="M450" s="52" t="str">
        <f>IFERROR(INDEX('OBA Dump'!D:D,MATCH($E450*1,'OBA Dump'!$A:$A,0)),"")</f>
        <v/>
      </c>
      <c r="N450" s="52"/>
      <c r="O450" s="52"/>
      <c r="P450" s="53"/>
      <c r="Q450" s="52"/>
      <c r="R450" s="38" t="str">
        <f>_xlfn.IFNA(VLOOKUP(E450,'Pre-Booked Holidays'!A:B,2,0),"")</f>
        <v/>
      </c>
      <c r="S450" s="38" t="str">
        <f>IF(E450="","",IF(IFERROR(VLOOKUP(E450,'Onbase Report'!D:E,2,0),"")&lt;&gt;"","Details in Onbase","No Details"))</f>
        <v/>
      </c>
      <c r="T450" s="38" t="str">
        <f>IF(LEFT('Salesforce Dump'!Q447,5)="BHX10",LEFT('Salesforce Dump'!Q447,5),LEFT('Salesforce Dump'!Q447,4))</f>
        <v/>
      </c>
      <c r="U450" s="38"/>
    </row>
    <row r="451" spans="1:21" ht="14.5" x14ac:dyDescent="0.35">
      <c r="A451" s="47" t="str">
        <f>IF('Salesforce Dump'!A448&lt;&gt;"",'Salesforce Dump'!A448,"")</f>
        <v/>
      </c>
      <c r="B451" s="48"/>
      <c r="C451" s="49" t="str">
        <f>IF('Salesforce Dump'!B448&lt;&gt;"",'Salesforce Dump'!B448,"")</f>
        <v/>
      </c>
      <c r="D451" s="48"/>
      <c r="E451" s="50" t="str">
        <f>IF('Salesforce Dump'!C448&lt;&gt;"",'Salesforce Dump'!C448,"")</f>
        <v/>
      </c>
      <c r="F451" s="49" t="str">
        <f>IF('Salesforce Dump'!D448&lt;&gt;"",'Salesforce Dump'!D448,"")</f>
        <v/>
      </c>
      <c r="G451" s="49" t="str">
        <f>IF('Salesforce Dump'!E448&lt;&gt;"",'Salesforce Dump'!E448,"")</f>
        <v/>
      </c>
      <c r="H451" s="49" t="str">
        <f>IF('Salesforce Dump'!G448&lt;&gt;"",'Salesforce Dump'!G448,"")</f>
        <v/>
      </c>
      <c r="I451" s="49" t="str">
        <f>IF('Salesforce Dump'!H448&lt;&gt;"",'Salesforce Dump'!H448,"")</f>
        <v/>
      </c>
      <c r="J451" s="51" t="str">
        <f>IF('Salesforce Dump'!I448&lt;&gt;"",'Salesforce Dump'!I448,"")</f>
        <v/>
      </c>
      <c r="K451" s="51" t="str">
        <f>IF('Salesforce Dump'!J448&lt;&gt;"",'Salesforce Dump'!J448,"")</f>
        <v/>
      </c>
      <c r="L451" s="52" t="str">
        <f>IFERROR(INDEX('OBA Dump'!C:C,MATCH($E451*1,'OBA Dump'!$A:$A,0)),"")</f>
        <v/>
      </c>
      <c r="M451" s="52" t="str">
        <f>IFERROR(INDEX('OBA Dump'!D:D,MATCH($E451*1,'OBA Dump'!$A:$A,0)),"")</f>
        <v/>
      </c>
      <c r="N451" s="52"/>
      <c r="O451" s="52"/>
      <c r="P451" s="53"/>
      <c r="Q451" s="52"/>
      <c r="R451" s="38" t="str">
        <f>_xlfn.IFNA(VLOOKUP(E451,'Pre-Booked Holidays'!A:B,2,0),"")</f>
        <v/>
      </c>
      <c r="S451" s="38" t="str">
        <f>IF(E451="","",IF(IFERROR(VLOOKUP(E451,'Onbase Report'!D:E,2,0),"")&lt;&gt;"","Details in Onbase","No Details"))</f>
        <v/>
      </c>
      <c r="T451" s="38" t="str">
        <f>IF(LEFT('Salesforce Dump'!Q448,5)="BHX10",LEFT('Salesforce Dump'!Q448,5),LEFT('Salesforce Dump'!Q448,4))</f>
        <v/>
      </c>
      <c r="U451" s="38"/>
    </row>
    <row r="452" spans="1:21" ht="14.5" x14ac:dyDescent="0.35">
      <c r="A452" s="47" t="str">
        <f>IF('Salesforce Dump'!A449&lt;&gt;"",'Salesforce Dump'!A449,"")</f>
        <v/>
      </c>
      <c r="B452" s="48"/>
      <c r="C452" s="49" t="str">
        <f>IF('Salesforce Dump'!B449&lt;&gt;"",'Salesforce Dump'!B449,"")</f>
        <v/>
      </c>
      <c r="D452" s="48"/>
      <c r="E452" s="50" t="str">
        <f>IF('Salesforce Dump'!C449&lt;&gt;"",'Salesforce Dump'!C449,"")</f>
        <v/>
      </c>
      <c r="F452" s="49" t="str">
        <f>IF('Salesforce Dump'!D449&lt;&gt;"",'Salesforce Dump'!D449,"")</f>
        <v/>
      </c>
      <c r="G452" s="49" t="str">
        <f>IF('Salesforce Dump'!E449&lt;&gt;"",'Salesforce Dump'!E449,"")</f>
        <v/>
      </c>
      <c r="H452" s="49" t="str">
        <f>IF('Salesforce Dump'!G449&lt;&gt;"",'Salesforce Dump'!G449,"")</f>
        <v/>
      </c>
      <c r="I452" s="49" t="str">
        <f>IF('Salesforce Dump'!H449&lt;&gt;"",'Salesforce Dump'!H449,"")</f>
        <v/>
      </c>
      <c r="J452" s="51" t="str">
        <f>IF('Salesforce Dump'!I449&lt;&gt;"",'Salesforce Dump'!I449,"")</f>
        <v/>
      </c>
      <c r="K452" s="51" t="str">
        <f>IF('Salesforce Dump'!J449&lt;&gt;"",'Salesforce Dump'!J449,"")</f>
        <v/>
      </c>
      <c r="L452" s="52" t="str">
        <f>IFERROR(INDEX('OBA Dump'!C:C,MATCH($E452*1,'OBA Dump'!$A:$A,0)),"")</f>
        <v/>
      </c>
      <c r="M452" s="52" t="str">
        <f>IFERROR(INDEX('OBA Dump'!D:D,MATCH($E452*1,'OBA Dump'!$A:$A,0)),"")</f>
        <v/>
      </c>
      <c r="N452" s="52"/>
      <c r="O452" s="52"/>
      <c r="P452" s="53"/>
      <c r="Q452" s="52"/>
      <c r="R452" s="38" t="str">
        <f>_xlfn.IFNA(VLOOKUP(E452,'Pre-Booked Holidays'!A:B,2,0),"")</f>
        <v/>
      </c>
      <c r="S452" s="38" t="str">
        <f>IF(E452="","",IF(IFERROR(VLOOKUP(E452,'Onbase Report'!D:E,2,0),"")&lt;&gt;"","Details in Onbase","No Details"))</f>
        <v/>
      </c>
      <c r="T452" s="38" t="str">
        <f>IF(LEFT('Salesforce Dump'!Q449,5)="BHX10",LEFT('Salesforce Dump'!Q449,5),LEFT('Salesforce Dump'!Q449,4))</f>
        <v/>
      </c>
      <c r="U452" s="38"/>
    </row>
    <row r="453" spans="1:21" ht="14.5" x14ac:dyDescent="0.35">
      <c r="A453" s="47" t="str">
        <f>IF('Salesforce Dump'!A450&lt;&gt;"",'Salesforce Dump'!A450,"")</f>
        <v/>
      </c>
      <c r="B453" s="48"/>
      <c r="C453" s="49" t="str">
        <f>IF('Salesforce Dump'!B450&lt;&gt;"",'Salesforce Dump'!B450,"")</f>
        <v/>
      </c>
      <c r="D453" s="48"/>
      <c r="E453" s="50" t="str">
        <f>IF('Salesforce Dump'!C450&lt;&gt;"",'Salesforce Dump'!C450,"")</f>
        <v/>
      </c>
      <c r="F453" s="49" t="str">
        <f>IF('Salesforce Dump'!D450&lt;&gt;"",'Salesforce Dump'!D450,"")</f>
        <v/>
      </c>
      <c r="G453" s="49" t="str">
        <f>IF('Salesforce Dump'!E450&lt;&gt;"",'Salesforce Dump'!E450,"")</f>
        <v/>
      </c>
      <c r="H453" s="49" t="str">
        <f>IF('Salesforce Dump'!G450&lt;&gt;"",'Salesforce Dump'!G450,"")</f>
        <v/>
      </c>
      <c r="I453" s="49" t="str">
        <f>IF('Salesforce Dump'!H450&lt;&gt;"",'Salesforce Dump'!H450,"")</f>
        <v/>
      </c>
      <c r="J453" s="51" t="str">
        <f>IF('Salesforce Dump'!I450&lt;&gt;"",'Salesforce Dump'!I450,"")</f>
        <v/>
      </c>
      <c r="K453" s="51" t="str">
        <f>IF('Salesforce Dump'!J450&lt;&gt;"",'Salesforce Dump'!J450,"")</f>
        <v/>
      </c>
      <c r="L453" s="52" t="str">
        <f>IFERROR(INDEX('OBA Dump'!C:C,MATCH($E453*1,'OBA Dump'!$A:$A,0)),"")</f>
        <v/>
      </c>
      <c r="M453" s="52" t="str">
        <f>IFERROR(INDEX('OBA Dump'!D:D,MATCH($E453*1,'OBA Dump'!$A:$A,0)),"")</f>
        <v/>
      </c>
      <c r="N453" s="52"/>
      <c r="O453" s="52"/>
      <c r="P453" s="53"/>
      <c r="Q453" s="52"/>
      <c r="R453" s="38" t="str">
        <f>_xlfn.IFNA(VLOOKUP(E453,'Pre-Booked Holidays'!A:B,2,0),"")</f>
        <v/>
      </c>
      <c r="S453" s="38" t="str">
        <f>IF(E453="","",IF(IFERROR(VLOOKUP(E453,'Onbase Report'!D:E,2,0),"")&lt;&gt;"","Details in Onbase","No Details"))</f>
        <v/>
      </c>
      <c r="T453" s="38" t="str">
        <f>IF(LEFT('Salesforce Dump'!Q450,5)="BHX10",LEFT('Salesforce Dump'!Q450,5),LEFT('Salesforce Dump'!Q450,4))</f>
        <v/>
      </c>
      <c r="U453" s="38"/>
    </row>
    <row r="454" spans="1:21" ht="14.5" x14ac:dyDescent="0.35">
      <c r="A454" s="47" t="str">
        <f>IF('Salesforce Dump'!A451&lt;&gt;"",'Salesforce Dump'!A451,"")</f>
        <v/>
      </c>
      <c r="B454" s="48"/>
      <c r="C454" s="49" t="str">
        <f>IF('Salesforce Dump'!B451&lt;&gt;"",'Salesforce Dump'!B451,"")</f>
        <v/>
      </c>
      <c r="D454" s="48"/>
      <c r="E454" s="50" t="str">
        <f>IF('Salesforce Dump'!C451&lt;&gt;"",'Salesforce Dump'!C451,"")</f>
        <v/>
      </c>
      <c r="F454" s="49" t="str">
        <f>IF('Salesforce Dump'!D451&lt;&gt;"",'Salesforce Dump'!D451,"")</f>
        <v/>
      </c>
      <c r="G454" s="49" t="str">
        <f>IF('Salesforce Dump'!E451&lt;&gt;"",'Salesforce Dump'!E451,"")</f>
        <v/>
      </c>
      <c r="H454" s="49" t="str">
        <f>IF('Salesforce Dump'!G451&lt;&gt;"",'Salesforce Dump'!G451,"")</f>
        <v/>
      </c>
      <c r="I454" s="49" t="str">
        <f>IF('Salesforce Dump'!H451&lt;&gt;"",'Salesforce Dump'!H451,"")</f>
        <v/>
      </c>
      <c r="J454" s="51" t="str">
        <f>IF('Salesforce Dump'!I451&lt;&gt;"",'Salesforce Dump'!I451,"")</f>
        <v/>
      </c>
      <c r="K454" s="51" t="str">
        <f>IF('Salesforce Dump'!J451&lt;&gt;"",'Salesforce Dump'!J451,"")</f>
        <v/>
      </c>
      <c r="L454" s="52" t="str">
        <f>IFERROR(INDEX('OBA Dump'!C:C,MATCH($E454*1,'OBA Dump'!$A:$A,0)),"")</f>
        <v/>
      </c>
      <c r="M454" s="52" t="str">
        <f>IFERROR(INDEX('OBA Dump'!D:D,MATCH($E454*1,'OBA Dump'!$A:$A,0)),"")</f>
        <v/>
      </c>
      <c r="N454" s="52"/>
      <c r="O454" s="52"/>
      <c r="P454" s="53"/>
      <c r="Q454" s="52"/>
      <c r="R454" s="38" t="str">
        <f>_xlfn.IFNA(VLOOKUP(E454,'Pre-Booked Holidays'!A:B,2,0),"")</f>
        <v/>
      </c>
      <c r="S454" s="38" t="str">
        <f>IF(E454="","",IF(IFERROR(VLOOKUP(E454,'Onbase Report'!D:E,2,0),"")&lt;&gt;"","Details in Onbase","No Details"))</f>
        <v/>
      </c>
      <c r="T454" s="38" t="str">
        <f>IF(LEFT('Salesforce Dump'!Q451,5)="BHX10",LEFT('Salesforce Dump'!Q451,5),LEFT('Salesforce Dump'!Q451,4))</f>
        <v/>
      </c>
      <c r="U454" s="38"/>
    </row>
    <row r="455" spans="1:21" ht="14.5" x14ac:dyDescent="0.35">
      <c r="A455" s="47" t="str">
        <f>IF('Salesforce Dump'!A452&lt;&gt;"",'Salesforce Dump'!A452,"")</f>
        <v/>
      </c>
      <c r="B455" s="48"/>
      <c r="C455" s="49" t="str">
        <f>IF('Salesforce Dump'!B452&lt;&gt;"",'Salesforce Dump'!B452,"")</f>
        <v/>
      </c>
      <c r="D455" s="48"/>
      <c r="E455" s="50" t="str">
        <f>IF('Salesforce Dump'!C452&lt;&gt;"",'Salesforce Dump'!C452,"")</f>
        <v/>
      </c>
      <c r="F455" s="49" t="str">
        <f>IF('Salesforce Dump'!D452&lt;&gt;"",'Salesforce Dump'!D452,"")</f>
        <v/>
      </c>
      <c r="G455" s="49" t="str">
        <f>IF('Salesforce Dump'!E452&lt;&gt;"",'Salesforce Dump'!E452,"")</f>
        <v/>
      </c>
      <c r="H455" s="49" t="str">
        <f>IF('Salesforce Dump'!G452&lt;&gt;"",'Salesforce Dump'!G452,"")</f>
        <v/>
      </c>
      <c r="I455" s="49" t="str">
        <f>IF('Salesforce Dump'!H452&lt;&gt;"",'Salesforce Dump'!H452,"")</f>
        <v/>
      </c>
      <c r="J455" s="51" t="str">
        <f>IF('Salesforce Dump'!I452&lt;&gt;"",'Salesforce Dump'!I452,"")</f>
        <v/>
      </c>
      <c r="K455" s="51" t="str">
        <f>IF('Salesforce Dump'!J452&lt;&gt;"",'Salesforce Dump'!J452,"")</f>
        <v/>
      </c>
      <c r="L455" s="52" t="str">
        <f>IFERROR(INDEX('OBA Dump'!C:C,MATCH($E455*1,'OBA Dump'!$A:$A,0)),"")</f>
        <v/>
      </c>
      <c r="M455" s="52" t="str">
        <f>IFERROR(INDEX('OBA Dump'!D:D,MATCH($E455*1,'OBA Dump'!$A:$A,0)),"")</f>
        <v/>
      </c>
      <c r="N455" s="52"/>
      <c r="O455" s="52"/>
      <c r="P455" s="53"/>
      <c r="Q455" s="52"/>
      <c r="R455" s="38" t="str">
        <f>_xlfn.IFNA(VLOOKUP(E455,'Pre-Booked Holidays'!A:B,2,0),"")</f>
        <v/>
      </c>
      <c r="S455" s="38" t="str">
        <f>IF(E455="","",IF(IFERROR(VLOOKUP(E455,'Onbase Report'!D:E,2,0),"")&lt;&gt;"","Details in Onbase","No Details"))</f>
        <v/>
      </c>
      <c r="T455" s="38" t="str">
        <f>IF(LEFT('Salesforce Dump'!Q452,5)="BHX10",LEFT('Salesforce Dump'!Q452,5),LEFT('Salesforce Dump'!Q452,4))</f>
        <v/>
      </c>
      <c r="U455" s="38"/>
    </row>
    <row r="456" spans="1:21" ht="14.5" x14ac:dyDescent="0.35">
      <c r="A456" s="47" t="str">
        <f>IF('Salesforce Dump'!A453&lt;&gt;"",'Salesforce Dump'!A453,"")</f>
        <v/>
      </c>
      <c r="B456" s="48"/>
      <c r="C456" s="49" t="str">
        <f>IF('Salesforce Dump'!B453&lt;&gt;"",'Salesforce Dump'!B453,"")</f>
        <v/>
      </c>
      <c r="D456" s="48"/>
      <c r="E456" s="50" t="str">
        <f>IF('Salesforce Dump'!C453&lt;&gt;"",'Salesforce Dump'!C453,"")</f>
        <v/>
      </c>
      <c r="F456" s="49" t="str">
        <f>IF('Salesforce Dump'!D453&lt;&gt;"",'Salesforce Dump'!D453,"")</f>
        <v/>
      </c>
      <c r="G456" s="49" t="str">
        <f>IF('Salesforce Dump'!E453&lt;&gt;"",'Salesforce Dump'!E453,"")</f>
        <v/>
      </c>
      <c r="H456" s="49" t="str">
        <f>IF('Salesforce Dump'!G453&lt;&gt;"",'Salesforce Dump'!G453,"")</f>
        <v/>
      </c>
      <c r="I456" s="49" t="str">
        <f>IF('Salesforce Dump'!H453&lt;&gt;"",'Salesforce Dump'!H453,"")</f>
        <v/>
      </c>
      <c r="J456" s="51" t="str">
        <f>IF('Salesforce Dump'!I453&lt;&gt;"",'Salesforce Dump'!I453,"")</f>
        <v/>
      </c>
      <c r="K456" s="51" t="str">
        <f>IF('Salesforce Dump'!J453&lt;&gt;"",'Salesforce Dump'!J453,"")</f>
        <v/>
      </c>
      <c r="L456" s="52" t="str">
        <f>IFERROR(INDEX('OBA Dump'!C:C,MATCH($E456*1,'OBA Dump'!$A:$A,0)),"")</f>
        <v/>
      </c>
      <c r="M456" s="52" t="str">
        <f>IFERROR(INDEX('OBA Dump'!D:D,MATCH($E456*1,'OBA Dump'!$A:$A,0)),"")</f>
        <v/>
      </c>
      <c r="N456" s="52"/>
      <c r="O456" s="52"/>
      <c r="P456" s="53"/>
      <c r="Q456" s="52"/>
      <c r="R456" s="38" t="str">
        <f>_xlfn.IFNA(VLOOKUP(E456,'Pre-Booked Holidays'!A:B,2,0),"")</f>
        <v/>
      </c>
      <c r="S456" s="38" t="str">
        <f>IF(E456="","",IF(IFERROR(VLOOKUP(E456,'Onbase Report'!D:E,2,0),"")&lt;&gt;"","Details in Onbase","No Details"))</f>
        <v/>
      </c>
      <c r="T456" s="38" t="str">
        <f>IF(LEFT('Salesforce Dump'!Q453,5)="BHX10",LEFT('Salesforce Dump'!Q453,5),LEFT('Salesforce Dump'!Q453,4))</f>
        <v/>
      </c>
      <c r="U456" s="38"/>
    </row>
    <row r="457" spans="1:21" ht="14.5" x14ac:dyDescent="0.35">
      <c r="A457" s="47" t="str">
        <f>IF('Salesforce Dump'!A454&lt;&gt;"",'Salesforce Dump'!A454,"")</f>
        <v/>
      </c>
      <c r="B457" s="48"/>
      <c r="C457" s="49" t="str">
        <f>IF('Salesforce Dump'!B454&lt;&gt;"",'Salesforce Dump'!B454,"")</f>
        <v/>
      </c>
      <c r="D457" s="48"/>
      <c r="E457" s="50" t="str">
        <f>IF('Salesforce Dump'!C454&lt;&gt;"",'Salesforce Dump'!C454,"")</f>
        <v/>
      </c>
      <c r="F457" s="49" t="str">
        <f>IF('Salesforce Dump'!D454&lt;&gt;"",'Salesforce Dump'!D454,"")</f>
        <v/>
      </c>
      <c r="G457" s="49" t="str">
        <f>IF('Salesforce Dump'!E454&lt;&gt;"",'Salesforce Dump'!E454,"")</f>
        <v/>
      </c>
      <c r="H457" s="49" t="str">
        <f>IF('Salesforce Dump'!G454&lt;&gt;"",'Salesforce Dump'!G454,"")</f>
        <v/>
      </c>
      <c r="I457" s="49" t="str">
        <f>IF('Salesforce Dump'!H454&lt;&gt;"",'Salesforce Dump'!H454,"")</f>
        <v/>
      </c>
      <c r="J457" s="51" t="str">
        <f>IF('Salesforce Dump'!I454&lt;&gt;"",'Salesforce Dump'!I454,"")</f>
        <v/>
      </c>
      <c r="K457" s="51" t="str">
        <f>IF('Salesforce Dump'!J454&lt;&gt;"",'Salesforce Dump'!J454,"")</f>
        <v/>
      </c>
      <c r="L457" s="52" t="str">
        <f>IFERROR(INDEX('OBA Dump'!C:C,MATCH($E457*1,'OBA Dump'!$A:$A,0)),"")</f>
        <v/>
      </c>
      <c r="M457" s="52" t="str">
        <f>IFERROR(INDEX('OBA Dump'!D:D,MATCH($E457*1,'OBA Dump'!$A:$A,0)),"")</f>
        <v/>
      </c>
      <c r="N457" s="52"/>
      <c r="O457" s="52"/>
      <c r="P457" s="53"/>
      <c r="Q457" s="52"/>
      <c r="R457" s="38" t="str">
        <f>_xlfn.IFNA(VLOOKUP(E457,'Pre-Booked Holidays'!A:B,2,0),"")</f>
        <v/>
      </c>
      <c r="S457" s="38" t="str">
        <f>IF(E457="","",IF(IFERROR(VLOOKUP(E457,'Onbase Report'!D:E,2,0),"")&lt;&gt;"","Details in Onbase","No Details"))</f>
        <v/>
      </c>
      <c r="T457" s="38" t="str">
        <f>IF(LEFT('Salesforce Dump'!Q454,5)="BHX10",LEFT('Salesforce Dump'!Q454,5),LEFT('Salesforce Dump'!Q454,4))</f>
        <v/>
      </c>
      <c r="U457" s="38"/>
    </row>
    <row r="458" spans="1:21" ht="14.5" x14ac:dyDescent="0.35">
      <c r="A458" s="47" t="str">
        <f>IF('Salesforce Dump'!A455&lt;&gt;"",'Salesforce Dump'!A455,"")</f>
        <v/>
      </c>
      <c r="B458" s="48"/>
      <c r="C458" s="49" t="str">
        <f>IF('Salesforce Dump'!B455&lt;&gt;"",'Salesforce Dump'!B455,"")</f>
        <v/>
      </c>
      <c r="D458" s="48"/>
      <c r="E458" s="50" t="str">
        <f>IF('Salesforce Dump'!C455&lt;&gt;"",'Salesforce Dump'!C455,"")</f>
        <v/>
      </c>
      <c r="F458" s="49" t="str">
        <f>IF('Salesforce Dump'!D455&lt;&gt;"",'Salesforce Dump'!D455,"")</f>
        <v/>
      </c>
      <c r="G458" s="49" t="str">
        <f>IF('Salesforce Dump'!E455&lt;&gt;"",'Salesforce Dump'!E455,"")</f>
        <v/>
      </c>
      <c r="H458" s="49" t="str">
        <f>IF('Salesforce Dump'!G455&lt;&gt;"",'Salesforce Dump'!G455,"")</f>
        <v/>
      </c>
      <c r="I458" s="49" t="str">
        <f>IF('Salesforce Dump'!H455&lt;&gt;"",'Salesforce Dump'!H455,"")</f>
        <v/>
      </c>
      <c r="J458" s="51" t="str">
        <f>IF('Salesforce Dump'!I455&lt;&gt;"",'Salesforce Dump'!I455,"")</f>
        <v/>
      </c>
      <c r="K458" s="51" t="str">
        <f>IF('Salesforce Dump'!J455&lt;&gt;"",'Salesforce Dump'!J455,"")</f>
        <v/>
      </c>
      <c r="L458" s="52" t="str">
        <f>IFERROR(INDEX('OBA Dump'!C:C,MATCH($E458*1,'OBA Dump'!$A:$A,0)),"")</f>
        <v/>
      </c>
      <c r="M458" s="52" t="str">
        <f>IFERROR(INDEX('OBA Dump'!D:D,MATCH($E458*1,'OBA Dump'!$A:$A,0)),"")</f>
        <v/>
      </c>
      <c r="N458" s="52"/>
      <c r="O458" s="52"/>
      <c r="P458" s="53"/>
      <c r="Q458" s="52"/>
      <c r="R458" s="38" t="str">
        <f>_xlfn.IFNA(VLOOKUP(E458,'Pre-Booked Holidays'!A:B,2,0),"")</f>
        <v/>
      </c>
      <c r="S458" s="38" t="str">
        <f>IF(E458="","",IF(IFERROR(VLOOKUP(E458,'Onbase Report'!D:E,2,0),"")&lt;&gt;"","Details in Onbase","No Details"))</f>
        <v/>
      </c>
      <c r="T458" s="38" t="str">
        <f>IF(LEFT('Salesforce Dump'!Q455,5)="BHX10",LEFT('Salesforce Dump'!Q455,5),LEFT('Salesforce Dump'!Q455,4))</f>
        <v/>
      </c>
      <c r="U458" s="38"/>
    </row>
    <row r="459" spans="1:21" ht="14.5" x14ac:dyDescent="0.35">
      <c r="A459" s="47" t="str">
        <f>IF('Salesforce Dump'!A456&lt;&gt;"",'Salesforce Dump'!A456,"")</f>
        <v/>
      </c>
      <c r="B459" s="48"/>
      <c r="C459" s="49" t="str">
        <f>IF('Salesforce Dump'!B456&lt;&gt;"",'Salesforce Dump'!B456,"")</f>
        <v/>
      </c>
      <c r="D459" s="48"/>
      <c r="E459" s="50" t="str">
        <f>IF('Salesforce Dump'!C456&lt;&gt;"",'Salesforce Dump'!C456,"")</f>
        <v/>
      </c>
      <c r="F459" s="49" t="str">
        <f>IF('Salesforce Dump'!D456&lt;&gt;"",'Salesforce Dump'!D456,"")</f>
        <v/>
      </c>
      <c r="G459" s="49" t="str">
        <f>IF('Salesforce Dump'!E456&lt;&gt;"",'Salesforce Dump'!E456,"")</f>
        <v/>
      </c>
      <c r="H459" s="49" t="str">
        <f>IF('Salesforce Dump'!G456&lt;&gt;"",'Salesforce Dump'!G456,"")</f>
        <v/>
      </c>
      <c r="I459" s="49" t="str">
        <f>IF('Salesforce Dump'!H456&lt;&gt;"",'Salesforce Dump'!H456,"")</f>
        <v/>
      </c>
      <c r="J459" s="51" t="str">
        <f>IF('Salesforce Dump'!I456&lt;&gt;"",'Salesforce Dump'!I456,"")</f>
        <v/>
      </c>
      <c r="K459" s="51" t="str">
        <f>IF('Salesforce Dump'!J456&lt;&gt;"",'Salesforce Dump'!J456,"")</f>
        <v/>
      </c>
      <c r="L459" s="52" t="str">
        <f>IFERROR(INDEX('OBA Dump'!C:C,MATCH($E459*1,'OBA Dump'!$A:$A,0)),"")</f>
        <v/>
      </c>
      <c r="M459" s="52" t="str">
        <f>IFERROR(INDEX('OBA Dump'!D:D,MATCH($E459*1,'OBA Dump'!$A:$A,0)),"")</f>
        <v/>
      </c>
      <c r="N459" s="52"/>
      <c r="O459" s="52"/>
      <c r="P459" s="53"/>
      <c r="Q459" s="52"/>
      <c r="R459" s="38" t="str">
        <f>_xlfn.IFNA(VLOOKUP(E459,'Pre-Booked Holidays'!A:B,2,0),"")</f>
        <v/>
      </c>
      <c r="S459" s="38" t="str">
        <f>IF(E459="","",IF(IFERROR(VLOOKUP(E459,'Onbase Report'!D:E,2,0),"")&lt;&gt;"","Details in Onbase","No Details"))</f>
        <v/>
      </c>
      <c r="T459" s="38" t="str">
        <f>IF(LEFT('Salesforce Dump'!Q456,5)="BHX10",LEFT('Salesforce Dump'!Q456,5),LEFT('Salesforce Dump'!Q456,4))</f>
        <v/>
      </c>
      <c r="U459" s="38"/>
    </row>
    <row r="460" spans="1:21" ht="14.5" x14ac:dyDescent="0.35">
      <c r="A460" s="47" t="str">
        <f>IF('Salesforce Dump'!A457&lt;&gt;"",'Salesforce Dump'!A457,"")</f>
        <v/>
      </c>
      <c r="B460" s="48"/>
      <c r="C460" s="49" t="str">
        <f>IF('Salesforce Dump'!B457&lt;&gt;"",'Salesforce Dump'!B457,"")</f>
        <v/>
      </c>
      <c r="D460" s="48"/>
      <c r="E460" s="50" t="str">
        <f>IF('Salesforce Dump'!C457&lt;&gt;"",'Salesforce Dump'!C457,"")</f>
        <v/>
      </c>
      <c r="F460" s="49" t="str">
        <f>IF('Salesforce Dump'!D457&lt;&gt;"",'Salesforce Dump'!D457,"")</f>
        <v/>
      </c>
      <c r="G460" s="49" t="str">
        <f>IF('Salesforce Dump'!E457&lt;&gt;"",'Salesforce Dump'!E457,"")</f>
        <v/>
      </c>
      <c r="H460" s="49" t="str">
        <f>IF('Salesforce Dump'!G457&lt;&gt;"",'Salesforce Dump'!G457,"")</f>
        <v/>
      </c>
      <c r="I460" s="49" t="str">
        <f>IF('Salesforce Dump'!H457&lt;&gt;"",'Salesforce Dump'!H457,"")</f>
        <v/>
      </c>
      <c r="J460" s="51" t="str">
        <f>IF('Salesforce Dump'!I457&lt;&gt;"",'Salesforce Dump'!I457,"")</f>
        <v/>
      </c>
      <c r="K460" s="51" t="str">
        <f>IF('Salesforce Dump'!J457&lt;&gt;"",'Salesforce Dump'!J457,"")</f>
        <v/>
      </c>
      <c r="L460" s="52" t="str">
        <f>IFERROR(INDEX('OBA Dump'!C:C,MATCH($E460*1,'OBA Dump'!$A:$A,0)),"")</f>
        <v/>
      </c>
      <c r="M460" s="52" t="str">
        <f>IFERROR(INDEX('OBA Dump'!D:D,MATCH($E460*1,'OBA Dump'!$A:$A,0)),"")</f>
        <v/>
      </c>
      <c r="N460" s="52"/>
      <c r="O460" s="52"/>
      <c r="P460" s="53"/>
      <c r="Q460" s="52"/>
      <c r="R460" s="38" t="str">
        <f>_xlfn.IFNA(VLOOKUP(E460,'Pre-Booked Holidays'!A:B,2,0),"")</f>
        <v/>
      </c>
      <c r="S460" s="38" t="str">
        <f>IF(E460="","",IF(IFERROR(VLOOKUP(E460,'Onbase Report'!D:E,2,0),"")&lt;&gt;"","Details in Onbase","No Details"))</f>
        <v/>
      </c>
      <c r="T460" s="38" t="str">
        <f>IF(LEFT('Salesforce Dump'!Q457,5)="BHX10",LEFT('Salesforce Dump'!Q457,5),LEFT('Salesforce Dump'!Q457,4))</f>
        <v/>
      </c>
      <c r="U460" s="38"/>
    </row>
    <row r="461" spans="1:21" ht="14.5" x14ac:dyDescent="0.35">
      <c r="A461" s="47" t="str">
        <f>IF('Salesforce Dump'!A458&lt;&gt;"",'Salesforce Dump'!A458,"")</f>
        <v/>
      </c>
      <c r="B461" s="48"/>
      <c r="C461" s="49" t="str">
        <f>IF('Salesforce Dump'!B458&lt;&gt;"",'Salesforce Dump'!B458,"")</f>
        <v/>
      </c>
      <c r="D461" s="48"/>
      <c r="E461" s="50" t="str">
        <f>IF('Salesforce Dump'!C458&lt;&gt;"",'Salesforce Dump'!C458,"")</f>
        <v/>
      </c>
      <c r="F461" s="49" t="str">
        <f>IF('Salesforce Dump'!D458&lt;&gt;"",'Salesforce Dump'!D458,"")</f>
        <v/>
      </c>
      <c r="G461" s="49" t="str">
        <f>IF('Salesforce Dump'!E458&lt;&gt;"",'Salesforce Dump'!E458,"")</f>
        <v/>
      </c>
      <c r="H461" s="49" t="str">
        <f>IF('Salesforce Dump'!G458&lt;&gt;"",'Salesforce Dump'!G458,"")</f>
        <v/>
      </c>
      <c r="I461" s="49" t="str">
        <f>IF('Salesforce Dump'!H458&lt;&gt;"",'Salesforce Dump'!H458,"")</f>
        <v/>
      </c>
      <c r="J461" s="51" t="str">
        <f>IF('Salesforce Dump'!I458&lt;&gt;"",'Salesforce Dump'!I458,"")</f>
        <v/>
      </c>
      <c r="K461" s="51" t="str">
        <f>IF('Salesforce Dump'!J458&lt;&gt;"",'Salesforce Dump'!J458,"")</f>
        <v/>
      </c>
      <c r="L461" s="52" t="str">
        <f>IFERROR(INDEX('OBA Dump'!C:C,MATCH($E461*1,'OBA Dump'!$A:$A,0)),"")</f>
        <v/>
      </c>
      <c r="M461" s="52" t="str">
        <f>IFERROR(INDEX('OBA Dump'!D:D,MATCH($E461*1,'OBA Dump'!$A:$A,0)),"")</f>
        <v/>
      </c>
      <c r="N461" s="52"/>
      <c r="O461" s="52"/>
      <c r="P461" s="53"/>
      <c r="Q461" s="52"/>
      <c r="R461" s="38" t="str">
        <f>_xlfn.IFNA(VLOOKUP(E461,'Pre-Booked Holidays'!A:B,2,0),"")</f>
        <v/>
      </c>
      <c r="S461" s="38" t="str">
        <f>IF(E461="","",IF(IFERROR(VLOOKUP(E461,'Onbase Report'!D:E,2,0),"")&lt;&gt;"","Details in Onbase","No Details"))</f>
        <v/>
      </c>
      <c r="T461" s="38" t="str">
        <f>IF(LEFT('Salesforce Dump'!Q458,5)="BHX10",LEFT('Salesforce Dump'!Q458,5),LEFT('Salesforce Dump'!Q458,4))</f>
        <v/>
      </c>
      <c r="U461" s="38"/>
    </row>
    <row r="462" spans="1:21" ht="14.5" x14ac:dyDescent="0.35">
      <c r="A462" s="47" t="str">
        <f>IF('Salesforce Dump'!A459&lt;&gt;"",'Salesforce Dump'!A459,"")</f>
        <v/>
      </c>
      <c r="B462" s="48"/>
      <c r="C462" s="49" t="str">
        <f>IF('Salesforce Dump'!B459&lt;&gt;"",'Salesforce Dump'!B459,"")</f>
        <v/>
      </c>
      <c r="D462" s="48"/>
      <c r="E462" s="50" t="str">
        <f>IF('Salesforce Dump'!C459&lt;&gt;"",'Salesforce Dump'!C459,"")</f>
        <v/>
      </c>
      <c r="F462" s="49" t="str">
        <f>IF('Salesforce Dump'!D459&lt;&gt;"",'Salesforce Dump'!D459,"")</f>
        <v/>
      </c>
      <c r="G462" s="49" t="str">
        <f>IF('Salesforce Dump'!E459&lt;&gt;"",'Salesforce Dump'!E459,"")</f>
        <v/>
      </c>
      <c r="H462" s="49" t="str">
        <f>IF('Salesforce Dump'!G459&lt;&gt;"",'Salesforce Dump'!G459,"")</f>
        <v/>
      </c>
      <c r="I462" s="49" t="str">
        <f>IF('Salesforce Dump'!H459&lt;&gt;"",'Salesforce Dump'!H459,"")</f>
        <v/>
      </c>
      <c r="J462" s="51" t="str">
        <f>IF('Salesforce Dump'!I459&lt;&gt;"",'Salesforce Dump'!I459,"")</f>
        <v/>
      </c>
      <c r="K462" s="51" t="str">
        <f>IF('Salesforce Dump'!J459&lt;&gt;"",'Salesforce Dump'!J459,"")</f>
        <v/>
      </c>
      <c r="L462" s="52" t="str">
        <f>IFERROR(INDEX('OBA Dump'!C:C,MATCH($E462*1,'OBA Dump'!$A:$A,0)),"")</f>
        <v/>
      </c>
      <c r="M462" s="52" t="str">
        <f>IFERROR(INDEX('OBA Dump'!D:D,MATCH($E462*1,'OBA Dump'!$A:$A,0)),"")</f>
        <v/>
      </c>
      <c r="N462" s="52"/>
      <c r="O462" s="52"/>
      <c r="P462" s="53"/>
      <c r="Q462" s="52"/>
      <c r="R462" s="38" t="str">
        <f>_xlfn.IFNA(VLOOKUP(E462,'Pre-Booked Holidays'!A:B,2,0),"")</f>
        <v/>
      </c>
      <c r="S462" s="38" t="str">
        <f>IF(E462="","",IF(IFERROR(VLOOKUP(E462,'Onbase Report'!D:E,2,0),"")&lt;&gt;"","Details in Onbase","No Details"))</f>
        <v/>
      </c>
      <c r="T462" s="38" t="str">
        <f>IF(LEFT('Salesforce Dump'!Q459,5)="BHX10",LEFT('Salesforce Dump'!Q459,5),LEFT('Salesforce Dump'!Q459,4))</f>
        <v/>
      </c>
      <c r="U462" s="38"/>
    </row>
    <row r="463" spans="1:21" ht="14.5" x14ac:dyDescent="0.35">
      <c r="A463" s="47" t="str">
        <f>IF('Salesforce Dump'!A460&lt;&gt;"",'Salesforce Dump'!A460,"")</f>
        <v/>
      </c>
      <c r="B463" s="48"/>
      <c r="C463" s="49" t="str">
        <f>IF('Salesforce Dump'!B460&lt;&gt;"",'Salesforce Dump'!B460,"")</f>
        <v/>
      </c>
      <c r="D463" s="48"/>
      <c r="E463" s="50" t="str">
        <f>IF('Salesforce Dump'!C460&lt;&gt;"",'Salesforce Dump'!C460,"")</f>
        <v/>
      </c>
      <c r="F463" s="49" t="str">
        <f>IF('Salesforce Dump'!D460&lt;&gt;"",'Salesforce Dump'!D460,"")</f>
        <v/>
      </c>
      <c r="G463" s="49" t="str">
        <f>IF('Salesforce Dump'!E460&lt;&gt;"",'Salesforce Dump'!E460,"")</f>
        <v/>
      </c>
      <c r="H463" s="49" t="str">
        <f>IF('Salesforce Dump'!G460&lt;&gt;"",'Salesforce Dump'!G460,"")</f>
        <v/>
      </c>
      <c r="I463" s="49" t="str">
        <f>IF('Salesforce Dump'!H460&lt;&gt;"",'Salesforce Dump'!H460,"")</f>
        <v/>
      </c>
      <c r="J463" s="51" t="str">
        <f>IF('Salesforce Dump'!I460&lt;&gt;"",'Salesforce Dump'!I460,"")</f>
        <v/>
      </c>
      <c r="K463" s="51" t="str">
        <f>IF('Salesforce Dump'!J460&lt;&gt;"",'Salesforce Dump'!J460,"")</f>
        <v/>
      </c>
      <c r="L463" s="52" t="str">
        <f>IFERROR(INDEX('OBA Dump'!C:C,MATCH($E463*1,'OBA Dump'!$A:$A,0)),"")</f>
        <v/>
      </c>
      <c r="M463" s="52" t="str">
        <f>IFERROR(INDEX('OBA Dump'!D:D,MATCH($E463*1,'OBA Dump'!$A:$A,0)),"")</f>
        <v/>
      </c>
      <c r="N463" s="52"/>
      <c r="O463" s="52"/>
      <c r="P463" s="53"/>
      <c r="Q463" s="52"/>
      <c r="R463" s="38" t="str">
        <f>_xlfn.IFNA(VLOOKUP(E463,'Pre-Booked Holidays'!A:B,2,0),"")</f>
        <v/>
      </c>
      <c r="S463" s="38" t="str">
        <f>IF(E463="","",IF(IFERROR(VLOOKUP(E463,'Onbase Report'!D:E,2,0),"")&lt;&gt;"","Details in Onbase","No Details"))</f>
        <v/>
      </c>
      <c r="T463" s="38" t="str">
        <f>IF(LEFT('Salesforce Dump'!Q460,5)="BHX10",LEFT('Salesforce Dump'!Q460,5),LEFT('Salesforce Dump'!Q460,4))</f>
        <v/>
      </c>
      <c r="U463" s="38"/>
    </row>
    <row r="464" spans="1:21" ht="14.5" x14ac:dyDescent="0.35">
      <c r="A464" s="47" t="str">
        <f>IF('Salesforce Dump'!A461&lt;&gt;"",'Salesforce Dump'!A461,"")</f>
        <v/>
      </c>
      <c r="B464" s="48"/>
      <c r="C464" s="49" t="str">
        <f>IF('Salesforce Dump'!B461&lt;&gt;"",'Salesforce Dump'!B461,"")</f>
        <v/>
      </c>
      <c r="D464" s="48"/>
      <c r="E464" s="50" t="str">
        <f>IF('Salesforce Dump'!C461&lt;&gt;"",'Salesforce Dump'!C461,"")</f>
        <v/>
      </c>
      <c r="F464" s="49" t="str">
        <f>IF('Salesforce Dump'!D461&lt;&gt;"",'Salesforce Dump'!D461,"")</f>
        <v/>
      </c>
      <c r="G464" s="49" t="str">
        <f>IF('Salesforce Dump'!E461&lt;&gt;"",'Salesforce Dump'!E461,"")</f>
        <v/>
      </c>
      <c r="H464" s="49" t="str">
        <f>IF('Salesforce Dump'!G461&lt;&gt;"",'Salesforce Dump'!G461,"")</f>
        <v/>
      </c>
      <c r="I464" s="49" t="str">
        <f>IF('Salesforce Dump'!H461&lt;&gt;"",'Salesforce Dump'!H461,"")</f>
        <v/>
      </c>
      <c r="J464" s="51" t="str">
        <f>IF('Salesforce Dump'!I461&lt;&gt;"",'Salesforce Dump'!I461,"")</f>
        <v/>
      </c>
      <c r="K464" s="51" t="str">
        <f>IF('Salesforce Dump'!J461&lt;&gt;"",'Salesforce Dump'!J461,"")</f>
        <v/>
      </c>
      <c r="L464" s="52" t="str">
        <f>IFERROR(INDEX('OBA Dump'!C:C,MATCH($E464*1,'OBA Dump'!$A:$A,0)),"")</f>
        <v/>
      </c>
      <c r="M464" s="52" t="str">
        <f>IFERROR(INDEX('OBA Dump'!D:D,MATCH($E464*1,'OBA Dump'!$A:$A,0)),"")</f>
        <v/>
      </c>
      <c r="N464" s="52"/>
      <c r="O464" s="52"/>
      <c r="P464" s="53"/>
      <c r="Q464" s="52"/>
      <c r="R464" s="38" t="str">
        <f>_xlfn.IFNA(VLOOKUP(E464,'Pre-Booked Holidays'!A:B,2,0),"")</f>
        <v/>
      </c>
      <c r="S464" s="38" t="str">
        <f>IF(E464="","",IF(IFERROR(VLOOKUP(E464,'Onbase Report'!D:E,2,0),"")&lt;&gt;"","Details in Onbase","No Details"))</f>
        <v/>
      </c>
      <c r="T464" s="38" t="str">
        <f>IF(LEFT('Salesforce Dump'!Q461,5)="BHX10",LEFT('Salesforce Dump'!Q461,5),LEFT('Salesforce Dump'!Q461,4))</f>
        <v/>
      </c>
      <c r="U464" s="38"/>
    </row>
    <row r="465" spans="1:21" ht="14.5" x14ac:dyDescent="0.35">
      <c r="A465" s="47" t="str">
        <f>IF('Salesforce Dump'!A462&lt;&gt;"",'Salesforce Dump'!A462,"")</f>
        <v/>
      </c>
      <c r="B465" s="48"/>
      <c r="C465" s="49" t="str">
        <f>IF('Salesforce Dump'!B462&lt;&gt;"",'Salesforce Dump'!B462,"")</f>
        <v/>
      </c>
      <c r="D465" s="48"/>
      <c r="E465" s="50" t="str">
        <f>IF('Salesforce Dump'!C462&lt;&gt;"",'Salesforce Dump'!C462,"")</f>
        <v/>
      </c>
      <c r="F465" s="49" t="str">
        <f>IF('Salesforce Dump'!D462&lt;&gt;"",'Salesforce Dump'!D462,"")</f>
        <v/>
      </c>
      <c r="G465" s="49" t="str">
        <f>IF('Salesforce Dump'!E462&lt;&gt;"",'Salesforce Dump'!E462,"")</f>
        <v/>
      </c>
      <c r="H465" s="49" t="str">
        <f>IF('Salesforce Dump'!G462&lt;&gt;"",'Salesforce Dump'!G462,"")</f>
        <v/>
      </c>
      <c r="I465" s="49" t="str">
        <f>IF('Salesforce Dump'!H462&lt;&gt;"",'Salesforce Dump'!H462,"")</f>
        <v/>
      </c>
      <c r="J465" s="51" t="str">
        <f>IF('Salesforce Dump'!I462&lt;&gt;"",'Salesforce Dump'!I462,"")</f>
        <v/>
      </c>
      <c r="K465" s="51" t="str">
        <f>IF('Salesforce Dump'!J462&lt;&gt;"",'Salesforce Dump'!J462,"")</f>
        <v/>
      </c>
      <c r="L465" s="52" t="str">
        <f>IFERROR(INDEX('OBA Dump'!C:C,MATCH($E465*1,'OBA Dump'!$A:$A,0)),"")</f>
        <v/>
      </c>
      <c r="M465" s="52" t="str">
        <f>IFERROR(INDEX('OBA Dump'!D:D,MATCH($E465*1,'OBA Dump'!$A:$A,0)),"")</f>
        <v/>
      </c>
      <c r="N465" s="52"/>
      <c r="O465" s="52"/>
      <c r="P465" s="53"/>
      <c r="Q465" s="52"/>
      <c r="R465" s="38" t="str">
        <f>_xlfn.IFNA(VLOOKUP(E465,'Pre-Booked Holidays'!A:B,2,0),"")</f>
        <v/>
      </c>
      <c r="S465" s="38" t="str">
        <f>IF(E465="","",IF(IFERROR(VLOOKUP(E465,'Onbase Report'!D:E,2,0),"")&lt;&gt;"","Details in Onbase","No Details"))</f>
        <v/>
      </c>
      <c r="T465" s="38" t="str">
        <f>IF(LEFT('Salesforce Dump'!Q462,5)="BHX10",LEFT('Salesforce Dump'!Q462,5),LEFT('Salesforce Dump'!Q462,4))</f>
        <v/>
      </c>
      <c r="U465" s="38"/>
    </row>
    <row r="466" spans="1:21" ht="14.5" x14ac:dyDescent="0.35">
      <c r="A466" s="47" t="str">
        <f>IF('Salesforce Dump'!A463&lt;&gt;"",'Salesforce Dump'!A463,"")</f>
        <v/>
      </c>
      <c r="B466" s="48"/>
      <c r="C466" s="49" t="str">
        <f>IF('Salesforce Dump'!B463&lt;&gt;"",'Salesforce Dump'!B463,"")</f>
        <v/>
      </c>
      <c r="D466" s="48"/>
      <c r="E466" s="50" t="str">
        <f>IF('Salesforce Dump'!C463&lt;&gt;"",'Salesforce Dump'!C463,"")</f>
        <v/>
      </c>
      <c r="F466" s="49" t="str">
        <f>IF('Salesforce Dump'!D463&lt;&gt;"",'Salesforce Dump'!D463,"")</f>
        <v/>
      </c>
      <c r="G466" s="49" t="str">
        <f>IF('Salesforce Dump'!E463&lt;&gt;"",'Salesforce Dump'!E463,"")</f>
        <v/>
      </c>
      <c r="H466" s="49" t="str">
        <f>IF('Salesforce Dump'!G463&lt;&gt;"",'Salesforce Dump'!G463,"")</f>
        <v/>
      </c>
      <c r="I466" s="49" t="str">
        <f>IF('Salesforce Dump'!H463&lt;&gt;"",'Salesforce Dump'!H463,"")</f>
        <v/>
      </c>
      <c r="J466" s="51" t="str">
        <f>IF('Salesforce Dump'!I463&lt;&gt;"",'Salesforce Dump'!I463,"")</f>
        <v/>
      </c>
      <c r="K466" s="51" t="str">
        <f>IF('Salesforce Dump'!J463&lt;&gt;"",'Salesforce Dump'!J463,"")</f>
        <v/>
      </c>
      <c r="L466" s="52" t="str">
        <f>IFERROR(INDEX('OBA Dump'!C:C,MATCH($E466*1,'OBA Dump'!$A:$A,0)),"")</f>
        <v/>
      </c>
      <c r="M466" s="52" t="str">
        <f>IFERROR(INDEX('OBA Dump'!D:D,MATCH($E466*1,'OBA Dump'!$A:$A,0)),"")</f>
        <v/>
      </c>
      <c r="N466" s="52"/>
      <c r="O466" s="52"/>
      <c r="P466" s="53"/>
      <c r="Q466" s="52"/>
      <c r="R466" s="38" t="str">
        <f>_xlfn.IFNA(VLOOKUP(E466,'Pre-Booked Holidays'!A:B,2,0),"")</f>
        <v/>
      </c>
      <c r="S466" s="38" t="str">
        <f>IF(E466="","",IF(IFERROR(VLOOKUP(E466,'Onbase Report'!D:E,2,0),"")&lt;&gt;"","Details in Onbase","No Details"))</f>
        <v/>
      </c>
      <c r="T466" s="38" t="str">
        <f>IF(LEFT('Salesforce Dump'!Q463,5)="BHX10",LEFT('Salesforce Dump'!Q463,5),LEFT('Salesforce Dump'!Q463,4))</f>
        <v/>
      </c>
      <c r="U466" s="38"/>
    </row>
    <row r="467" spans="1:21" ht="14.5" x14ac:dyDescent="0.35">
      <c r="A467" s="47" t="str">
        <f>IF('Salesforce Dump'!A464&lt;&gt;"",'Salesforce Dump'!A464,"")</f>
        <v/>
      </c>
      <c r="B467" s="48"/>
      <c r="C467" s="49" t="str">
        <f>IF('Salesforce Dump'!B464&lt;&gt;"",'Salesforce Dump'!B464,"")</f>
        <v/>
      </c>
      <c r="D467" s="48"/>
      <c r="E467" s="50" t="str">
        <f>IF('Salesforce Dump'!C464&lt;&gt;"",'Salesforce Dump'!C464,"")</f>
        <v/>
      </c>
      <c r="F467" s="49" t="str">
        <f>IF('Salesforce Dump'!D464&lt;&gt;"",'Salesforce Dump'!D464,"")</f>
        <v/>
      </c>
      <c r="G467" s="49" t="str">
        <f>IF('Salesforce Dump'!E464&lt;&gt;"",'Salesforce Dump'!E464,"")</f>
        <v/>
      </c>
      <c r="H467" s="49" t="str">
        <f>IF('Salesforce Dump'!G464&lt;&gt;"",'Salesforce Dump'!G464,"")</f>
        <v/>
      </c>
      <c r="I467" s="49" t="str">
        <f>IF('Salesforce Dump'!H464&lt;&gt;"",'Salesforce Dump'!H464,"")</f>
        <v/>
      </c>
      <c r="J467" s="51" t="str">
        <f>IF('Salesforce Dump'!I464&lt;&gt;"",'Salesforce Dump'!I464,"")</f>
        <v/>
      </c>
      <c r="K467" s="51" t="str">
        <f>IF('Salesforce Dump'!J464&lt;&gt;"",'Salesforce Dump'!J464,"")</f>
        <v/>
      </c>
      <c r="L467" s="52" t="str">
        <f>IFERROR(INDEX('OBA Dump'!C:C,MATCH($E467*1,'OBA Dump'!$A:$A,0)),"")</f>
        <v/>
      </c>
      <c r="M467" s="52" t="str">
        <f>IFERROR(INDEX('OBA Dump'!D:D,MATCH($E467*1,'OBA Dump'!$A:$A,0)),"")</f>
        <v/>
      </c>
      <c r="N467" s="52"/>
      <c r="O467" s="52"/>
      <c r="P467" s="53"/>
      <c r="Q467" s="52"/>
      <c r="R467" s="38" t="str">
        <f>_xlfn.IFNA(VLOOKUP(E467,'Pre-Booked Holidays'!A:B,2,0),"")</f>
        <v/>
      </c>
      <c r="S467" s="38" t="str">
        <f>IF(E467="","",IF(IFERROR(VLOOKUP(E467,'Onbase Report'!D:E,2,0),"")&lt;&gt;"","Details in Onbase","No Details"))</f>
        <v/>
      </c>
      <c r="T467" s="38" t="str">
        <f>IF(LEFT('Salesforce Dump'!Q464,5)="BHX10",LEFT('Salesforce Dump'!Q464,5),LEFT('Salesforce Dump'!Q464,4))</f>
        <v/>
      </c>
      <c r="U467" s="38"/>
    </row>
    <row r="468" spans="1:21" ht="14.5" x14ac:dyDescent="0.35">
      <c r="A468" s="47" t="str">
        <f>IF('Salesforce Dump'!A465&lt;&gt;"",'Salesforce Dump'!A465,"")</f>
        <v/>
      </c>
      <c r="B468" s="48"/>
      <c r="C468" s="49" t="str">
        <f>IF('Salesforce Dump'!B465&lt;&gt;"",'Salesforce Dump'!B465,"")</f>
        <v/>
      </c>
      <c r="D468" s="48"/>
      <c r="E468" s="50" t="str">
        <f>IF('Salesforce Dump'!C465&lt;&gt;"",'Salesforce Dump'!C465,"")</f>
        <v/>
      </c>
      <c r="F468" s="49" t="str">
        <f>IF('Salesforce Dump'!D465&lt;&gt;"",'Salesforce Dump'!D465,"")</f>
        <v/>
      </c>
      <c r="G468" s="49" t="str">
        <f>IF('Salesforce Dump'!E465&lt;&gt;"",'Salesforce Dump'!E465,"")</f>
        <v/>
      </c>
      <c r="H468" s="49" t="str">
        <f>IF('Salesforce Dump'!G465&lt;&gt;"",'Salesforce Dump'!G465,"")</f>
        <v/>
      </c>
      <c r="I468" s="49" t="str">
        <f>IF('Salesforce Dump'!H465&lt;&gt;"",'Salesforce Dump'!H465,"")</f>
        <v/>
      </c>
      <c r="J468" s="51" t="str">
        <f>IF('Salesforce Dump'!I465&lt;&gt;"",'Salesforce Dump'!I465,"")</f>
        <v/>
      </c>
      <c r="K468" s="51" t="str">
        <f>IF('Salesforce Dump'!J465&lt;&gt;"",'Salesforce Dump'!J465,"")</f>
        <v/>
      </c>
      <c r="L468" s="52" t="str">
        <f>IFERROR(INDEX('OBA Dump'!C:C,MATCH($E468*1,'OBA Dump'!$A:$A,0)),"")</f>
        <v/>
      </c>
      <c r="M468" s="52" t="str">
        <f>IFERROR(INDEX('OBA Dump'!D:D,MATCH($E468*1,'OBA Dump'!$A:$A,0)),"")</f>
        <v/>
      </c>
      <c r="N468" s="52"/>
      <c r="O468" s="52"/>
      <c r="P468" s="53"/>
      <c r="Q468" s="52"/>
      <c r="R468" s="38" t="str">
        <f>_xlfn.IFNA(VLOOKUP(E468,'Pre-Booked Holidays'!A:B,2,0),"")</f>
        <v/>
      </c>
      <c r="S468" s="38" t="str">
        <f>IF(E468="","",IF(IFERROR(VLOOKUP(E468,'Onbase Report'!D:E,2,0),"")&lt;&gt;"","Details in Onbase","No Details"))</f>
        <v/>
      </c>
      <c r="T468" s="38" t="str">
        <f>IF(LEFT('Salesforce Dump'!Q465,5)="BHX10",LEFT('Salesforce Dump'!Q465,5),LEFT('Salesforce Dump'!Q465,4))</f>
        <v/>
      </c>
      <c r="U468" s="38"/>
    </row>
    <row r="469" spans="1:21" ht="14.5" x14ac:dyDescent="0.35">
      <c r="A469" s="47" t="str">
        <f>IF('Salesforce Dump'!A466&lt;&gt;"",'Salesforce Dump'!A466,"")</f>
        <v/>
      </c>
      <c r="B469" s="48"/>
      <c r="C469" s="49" t="str">
        <f>IF('Salesforce Dump'!B466&lt;&gt;"",'Salesforce Dump'!B466,"")</f>
        <v/>
      </c>
      <c r="D469" s="48"/>
      <c r="E469" s="50" t="str">
        <f>IF('Salesforce Dump'!C466&lt;&gt;"",'Salesforce Dump'!C466,"")</f>
        <v/>
      </c>
      <c r="F469" s="49" t="str">
        <f>IF('Salesforce Dump'!D466&lt;&gt;"",'Salesforce Dump'!D466,"")</f>
        <v/>
      </c>
      <c r="G469" s="49" t="str">
        <f>IF('Salesforce Dump'!E466&lt;&gt;"",'Salesforce Dump'!E466,"")</f>
        <v/>
      </c>
      <c r="H469" s="49" t="str">
        <f>IF('Salesforce Dump'!G466&lt;&gt;"",'Salesforce Dump'!G466,"")</f>
        <v/>
      </c>
      <c r="I469" s="49" t="str">
        <f>IF('Salesforce Dump'!H466&lt;&gt;"",'Salesforce Dump'!H466,"")</f>
        <v/>
      </c>
      <c r="J469" s="51" t="str">
        <f>IF('Salesforce Dump'!I466&lt;&gt;"",'Salesforce Dump'!I466,"")</f>
        <v/>
      </c>
      <c r="K469" s="51" t="str">
        <f>IF('Salesforce Dump'!J466&lt;&gt;"",'Salesforce Dump'!J466,"")</f>
        <v/>
      </c>
      <c r="L469" s="52" t="str">
        <f>IFERROR(INDEX('OBA Dump'!C:C,MATCH($E469*1,'OBA Dump'!$A:$A,0)),"")</f>
        <v/>
      </c>
      <c r="M469" s="52" t="str">
        <f>IFERROR(INDEX('OBA Dump'!D:D,MATCH($E469*1,'OBA Dump'!$A:$A,0)),"")</f>
        <v/>
      </c>
      <c r="N469" s="52"/>
      <c r="O469" s="52"/>
      <c r="P469" s="53"/>
      <c r="Q469" s="52"/>
      <c r="R469" s="38" t="str">
        <f>_xlfn.IFNA(VLOOKUP(E469,'Pre-Booked Holidays'!A:B,2,0),"")</f>
        <v/>
      </c>
      <c r="S469" s="38" t="str">
        <f>IF(E469="","",IF(IFERROR(VLOOKUP(E469,'Onbase Report'!D:E,2,0),"")&lt;&gt;"","Details in Onbase","No Details"))</f>
        <v/>
      </c>
      <c r="T469" s="38" t="str">
        <f>IF(LEFT('Salesforce Dump'!Q466,5)="BHX10",LEFT('Salesforce Dump'!Q466,5),LEFT('Salesforce Dump'!Q466,4))</f>
        <v/>
      </c>
      <c r="U469" s="38"/>
    </row>
    <row r="470" spans="1:21" ht="14.5" x14ac:dyDescent="0.35">
      <c r="A470" s="47" t="str">
        <f>IF('Salesforce Dump'!A467&lt;&gt;"",'Salesforce Dump'!A467,"")</f>
        <v/>
      </c>
      <c r="B470" s="48"/>
      <c r="C470" s="49" t="str">
        <f>IF('Salesforce Dump'!B467&lt;&gt;"",'Salesforce Dump'!B467,"")</f>
        <v/>
      </c>
      <c r="D470" s="48"/>
      <c r="E470" s="50" t="str">
        <f>IF('Salesforce Dump'!C467&lt;&gt;"",'Salesforce Dump'!C467,"")</f>
        <v/>
      </c>
      <c r="F470" s="49" t="str">
        <f>IF('Salesforce Dump'!D467&lt;&gt;"",'Salesforce Dump'!D467,"")</f>
        <v/>
      </c>
      <c r="G470" s="49" t="str">
        <f>IF('Salesforce Dump'!E467&lt;&gt;"",'Salesforce Dump'!E467,"")</f>
        <v/>
      </c>
      <c r="H470" s="49" t="str">
        <f>IF('Salesforce Dump'!G467&lt;&gt;"",'Salesforce Dump'!G467,"")</f>
        <v/>
      </c>
      <c r="I470" s="49" t="str">
        <f>IF('Salesforce Dump'!H467&lt;&gt;"",'Salesforce Dump'!H467,"")</f>
        <v/>
      </c>
      <c r="J470" s="51" t="str">
        <f>IF('Salesforce Dump'!I467&lt;&gt;"",'Salesforce Dump'!I467,"")</f>
        <v/>
      </c>
      <c r="K470" s="51" t="str">
        <f>IF('Salesforce Dump'!J467&lt;&gt;"",'Salesforce Dump'!J467,"")</f>
        <v/>
      </c>
      <c r="L470" s="52" t="str">
        <f>IFERROR(INDEX('OBA Dump'!C:C,MATCH($E470*1,'OBA Dump'!$A:$A,0)),"")</f>
        <v/>
      </c>
      <c r="M470" s="52" t="str">
        <f>IFERROR(INDEX('OBA Dump'!D:D,MATCH($E470*1,'OBA Dump'!$A:$A,0)),"")</f>
        <v/>
      </c>
      <c r="N470" s="52"/>
      <c r="O470" s="52"/>
      <c r="P470" s="53"/>
      <c r="Q470" s="52"/>
      <c r="R470" s="38" t="str">
        <f>_xlfn.IFNA(VLOOKUP(E470,'Pre-Booked Holidays'!A:B,2,0),"")</f>
        <v/>
      </c>
      <c r="S470" s="38" t="str">
        <f>IF(E470="","",IF(IFERROR(VLOOKUP(E470,'Onbase Report'!D:E,2,0),"")&lt;&gt;"","Details in Onbase","No Details"))</f>
        <v/>
      </c>
      <c r="T470" s="38" t="str">
        <f>IF(LEFT('Salesforce Dump'!Q467,5)="BHX10",LEFT('Salesforce Dump'!Q467,5),LEFT('Salesforce Dump'!Q467,4))</f>
        <v/>
      </c>
      <c r="U470" s="38"/>
    </row>
    <row r="471" spans="1:21" ht="14.5" x14ac:dyDescent="0.35">
      <c r="A471" s="47" t="str">
        <f>IF('Salesforce Dump'!A468&lt;&gt;"",'Salesforce Dump'!A468,"")</f>
        <v/>
      </c>
      <c r="B471" s="48"/>
      <c r="C471" s="49" t="str">
        <f>IF('Salesforce Dump'!B468&lt;&gt;"",'Salesforce Dump'!B468,"")</f>
        <v/>
      </c>
      <c r="D471" s="48"/>
      <c r="E471" s="50" t="str">
        <f>IF('Salesforce Dump'!C468&lt;&gt;"",'Salesforce Dump'!C468,"")</f>
        <v/>
      </c>
      <c r="F471" s="49" t="str">
        <f>IF('Salesforce Dump'!D468&lt;&gt;"",'Salesforce Dump'!D468,"")</f>
        <v/>
      </c>
      <c r="G471" s="49" t="str">
        <f>IF('Salesforce Dump'!E468&lt;&gt;"",'Salesforce Dump'!E468,"")</f>
        <v/>
      </c>
      <c r="H471" s="49" t="str">
        <f>IF('Salesforce Dump'!G468&lt;&gt;"",'Salesforce Dump'!G468,"")</f>
        <v/>
      </c>
      <c r="I471" s="49" t="str">
        <f>IF('Salesforce Dump'!H468&lt;&gt;"",'Salesforce Dump'!H468,"")</f>
        <v/>
      </c>
      <c r="J471" s="51" t="str">
        <f>IF('Salesforce Dump'!I468&lt;&gt;"",'Salesforce Dump'!I468,"")</f>
        <v/>
      </c>
      <c r="K471" s="51" t="str">
        <f>IF('Salesforce Dump'!J468&lt;&gt;"",'Salesforce Dump'!J468,"")</f>
        <v/>
      </c>
      <c r="L471" s="52" t="str">
        <f>IFERROR(INDEX('OBA Dump'!C:C,MATCH($E471*1,'OBA Dump'!$A:$A,0)),"")</f>
        <v/>
      </c>
      <c r="M471" s="52" t="str">
        <f>IFERROR(INDEX('OBA Dump'!D:D,MATCH($E471*1,'OBA Dump'!$A:$A,0)),"")</f>
        <v/>
      </c>
      <c r="N471" s="52"/>
      <c r="O471" s="52"/>
      <c r="P471" s="53"/>
      <c r="Q471" s="52"/>
      <c r="R471" s="38" t="str">
        <f>_xlfn.IFNA(VLOOKUP(E471,'Pre-Booked Holidays'!A:B,2,0),"")</f>
        <v/>
      </c>
      <c r="S471" s="38" t="str">
        <f>IF(E471="","",IF(IFERROR(VLOOKUP(E471,'Onbase Report'!D:E,2,0),"")&lt;&gt;"","Details in Onbase","No Details"))</f>
        <v/>
      </c>
      <c r="T471" s="38" t="str">
        <f>IF(LEFT('Salesforce Dump'!Q468,5)="BHX10",LEFT('Salesforce Dump'!Q468,5),LEFT('Salesforce Dump'!Q468,4))</f>
        <v/>
      </c>
      <c r="U471" s="38"/>
    </row>
    <row r="472" spans="1:21" ht="14.5" x14ac:dyDescent="0.35">
      <c r="A472" s="47" t="str">
        <f>IF('Salesforce Dump'!A469&lt;&gt;"",'Salesforce Dump'!A469,"")</f>
        <v/>
      </c>
      <c r="B472" s="48"/>
      <c r="C472" s="49" t="str">
        <f>IF('Salesforce Dump'!B469&lt;&gt;"",'Salesforce Dump'!B469,"")</f>
        <v/>
      </c>
      <c r="D472" s="48"/>
      <c r="E472" s="50" t="str">
        <f>IF('Salesforce Dump'!C469&lt;&gt;"",'Salesforce Dump'!C469,"")</f>
        <v/>
      </c>
      <c r="F472" s="49" t="str">
        <f>IF('Salesforce Dump'!D469&lt;&gt;"",'Salesforce Dump'!D469,"")</f>
        <v/>
      </c>
      <c r="G472" s="49" t="str">
        <f>IF('Salesforce Dump'!E469&lt;&gt;"",'Salesforce Dump'!E469,"")</f>
        <v/>
      </c>
      <c r="H472" s="49" t="str">
        <f>IF('Salesforce Dump'!G469&lt;&gt;"",'Salesforce Dump'!G469,"")</f>
        <v/>
      </c>
      <c r="I472" s="49" t="str">
        <f>IF('Salesforce Dump'!H469&lt;&gt;"",'Salesforce Dump'!H469,"")</f>
        <v/>
      </c>
      <c r="J472" s="51" t="str">
        <f>IF('Salesforce Dump'!I469&lt;&gt;"",'Salesforce Dump'!I469,"")</f>
        <v/>
      </c>
      <c r="K472" s="51" t="str">
        <f>IF('Salesforce Dump'!J469&lt;&gt;"",'Salesforce Dump'!J469,"")</f>
        <v/>
      </c>
      <c r="L472" s="52" t="str">
        <f>IFERROR(INDEX('OBA Dump'!C:C,MATCH($E472*1,'OBA Dump'!$A:$A,0)),"")</f>
        <v/>
      </c>
      <c r="M472" s="52" t="str">
        <f>IFERROR(INDEX('OBA Dump'!D:D,MATCH($E472*1,'OBA Dump'!$A:$A,0)),"")</f>
        <v/>
      </c>
      <c r="N472" s="52"/>
      <c r="O472" s="52"/>
      <c r="P472" s="53"/>
      <c r="Q472" s="52"/>
      <c r="R472" s="38" t="str">
        <f>_xlfn.IFNA(VLOOKUP(E472,'Pre-Booked Holidays'!A:B,2,0),"")</f>
        <v/>
      </c>
      <c r="S472" s="38" t="str">
        <f>IF(E472="","",IF(IFERROR(VLOOKUP(E472,'Onbase Report'!D:E,2,0),"")&lt;&gt;"","Details in Onbase","No Details"))</f>
        <v/>
      </c>
      <c r="T472" s="38" t="str">
        <f>IF(LEFT('Salesforce Dump'!Q469,5)="BHX10",LEFT('Salesforce Dump'!Q469,5),LEFT('Salesforce Dump'!Q469,4))</f>
        <v/>
      </c>
      <c r="U472" s="38"/>
    </row>
    <row r="473" spans="1:21" ht="14.5" x14ac:dyDescent="0.35">
      <c r="A473" s="47" t="str">
        <f>IF('Salesforce Dump'!A470&lt;&gt;"",'Salesforce Dump'!A470,"")</f>
        <v/>
      </c>
      <c r="B473" s="48"/>
      <c r="C473" s="49" t="str">
        <f>IF('Salesforce Dump'!B470&lt;&gt;"",'Salesforce Dump'!B470,"")</f>
        <v/>
      </c>
      <c r="D473" s="48"/>
      <c r="E473" s="50" t="str">
        <f>IF('Salesforce Dump'!C470&lt;&gt;"",'Salesforce Dump'!C470,"")</f>
        <v/>
      </c>
      <c r="F473" s="49" t="str">
        <f>IF('Salesforce Dump'!D470&lt;&gt;"",'Salesforce Dump'!D470,"")</f>
        <v/>
      </c>
      <c r="G473" s="49" t="str">
        <f>IF('Salesforce Dump'!E470&lt;&gt;"",'Salesforce Dump'!E470,"")</f>
        <v/>
      </c>
      <c r="H473" s="49" t="str">
        <f>IF('Salesforce Dump'!G470&lt;&gt;"",'Salesforce Dump'!G470,"")</f>
        <v/>
      </c>
      <c r="I473" s="49" t="str">
        <f>IF('Salesforce Dump'!H470&lt;&gt;"",'Salesforce Dump'!H470,"")</f>
        <v/>
      </c>
      <c r="J473" s="51" t="str">
        <f>IF('Salesforce Dump'!I470&lt;&gt;"",'Salesforce Dump'!I470,"")</f>
        <v/>
      </c>
      <c r="K473" s="51" t="str">
        <f>IF('Salesforce Dump'!J470&lt;&gt;"",'Salesforce Dump'!J470,"")</f>
        <v/>
      </c>
      <c r="L473" s="52" t="str">
        <f>IFERROR(INDEX('OBA Dump'!C:C,MATCH($E473*1,'OBA Dump'!$A:$A,0)),"")</f>
        <v/>
      </c>
      <c r="M473" s="52" t="str">
        <f>IFERROR(INDEX('OBA Dump'!D:D,MATCH($E473*1,'OBA Dump'!$A:$A,0)),"")</f>
        <v/>
      </c>
      <c r="N473" s="52"/>
      <c r="O473" s="52"/>
      <c r="P473" s="53"/>
      <c r="Q473" s="52"/>
      <c r="R473" s="38" t="str">
        <f>_xlfn.IFNA(VLOOKUP(E473,'Pre-Booked Holidays'!A:B,2,0),"")</f>
        <v/>
      </c>
      <c r="S473" s="38" t="str">
        <f>IF(E473="","",IF(IFERROR(VLOOKUP(E473,'Onbase Report'!D:E,2,0),"")&lt;&gt;"","Details in Onbase","No Details"))</f>
        <v/>
      </c>
      <c r="T473" s="38" t="str">
        <f>IF(LEFT('Salesforce Dump'!Q470,5)="BHX10",LEFT('Salesforce Dump'!Q470,5),LEFT('Salesforce Dump'!Q470,4))</f>
        <v/>
      </c>
      <c r="U473" s="38"/>
    </row>
    <row r="474" spans="1:21" ht="14.5" x14ac:dyDescent="0.35">
      <c r="A474" s="47" t="str">
        <f>IF('Salesforce Dump'!A471&lt;&gt;"",'Salesforce Dump'!A471,"")</f>
        <v/>
      </c>
      <c r="B474" s="48"/>
      <c r="C474" s="49" t="str">
        <f>IF('Salesforce Dump'!B471&lt;&gt;"",'Salesforce Dump'!B471,"")</f>
        <v/>
      </c>
      <c r="D474" s="48"/>
      <c r="E474" s="50" t="str">
        <f>IF('Salesforce Dump'!C471&lt;&gt;"",'Salesforce Dump'!C471,"")</f>
        <v/>
      </c>
      <c r="F474" s="49" t="str">
        <f>IF('Salesforce Dump'!D471&lt;&gt;"",'Salesforce Dump'!D471,"")</f>
        <v/>
      </c>
      <c r="G474" s="49" t="str">
        <f>IF('Salesforce Dump'!E471&lt;&gt;"",'Salesforce Dump'!E471,"")</f>
        <v/>
      </c>
      <c r="H474" s="49" t="str">
        <f>IF('Salesforce Dump'!G471&lt;&gt;"",'Salesforce Dump'!G471,"")</f>
        <v/>
      </c>
      <c r="I474" s="49" t="str">
        <f>IF('Salesforce Dump'!H471&lt;&gt;"",'Salesforce Dump'!H471,"")</f>
        <v/>
      </c>
      <c r="J474" s="51" t="str">
        <f>IF('Salesforce Dump'!I471&lt;&gt;"",'Salesforce Dump'!I471,"")</f>
        <v/>
      </c>
      <c r="K474" s="51" t="str">
        <f>IF('Salesforce Dump'!J471&lt;&gt;"",'Salesforce Dump'!J471,"")</f>
        <v/>
      </c>
      <c r="L474" s="52" t="str">
        <f>IFERROR(INDEX('OBA Dump'!C:C,MATCH($E474*1,'OBA Dump'!$A:$A,0)),"")</f>
        <v/>
      </c>
      <c r="M474" s="52" t="str">
        <f>IFERROR(INDEX('OBA Dump'!D:D,MATCH($E474*1,'OBA Dump'!$A:$A,0)),"")</f>
        <v/>
      </c>
      <c r="N474" s="52"/>
      <c r="O474" s="52"/>
      <c r="P474" s="53"/>
      <c r="Q474" s="52"/>
      <c r="R474" s="38" t="str">
        <f>_xlfn.IFNA(VLOOKUP(E474,'Pre-Booked Holidays'!A:B,2,0),"")</f>
        <v/>
      </c>
      <c r="S474" s="38" t="str">
        <f>IF(E474="","",IF(IFERROR(VLOOKUP(E474,'Onbase Report'!D:E,2,0),"")&lt;&gt;"","Details in Onbase","No Details"))</f>
        <v/>
      </c>
      <c r="T474" s="38" t="str">
        <f>IF(LEFT('Salesforce Dump'!Q471,5)="BHX10",LEFT('Salesforce Dump'!Q471,5),LEFT('Salesforce Dump'!Q471,4))</f>
        <v/>
      </c>
      <c r="U474" s="38"/>
    </row>
    <row r="475" spans="1:21" ht="14.5" x14ac:dyDescent="0.35">
      <c r="A475" s="47" t="str">
        <f>IF('Salesforce Dump'!A472&lt;&gt;"",'Salesforce Dump'!A472,"")</f>
        <v/>
      </c>
      <c r="B475" s="48"/>
      <c r="C475" s="49" t="str">
        <f>IF('Salesforce Dump'!B472&lt;&gt;"",'Salesforce Dump'!B472,"")</f>
        <v/>
      </c>
      <c r="D475" s="48"/>
      <c r="E475" s="50" t="str">
        <f>IF('Salesforce Dump'!C472&lt;&gt;"",'Salesforce Dump'!C472,"")</f>
        <v/>
      </c>
      <c r="F475" s="49" t="str">
        <f>IF('Salesforce Dump'!D472&lt;&gt;"",'Salesforce Dump'!D472,"")</f>
        <v/>
      </c>
      <c r="G475" s="49" t="str">
        <f>IF('Salesforce Dump'!E472&lt;&gt;"",'Salesforce Dump'!E472,"")</f>
        <v/>
      </c>
      <c r="H475" s="49" t="str">
        <f>IF('Salesforce Dump'!G472&lt;&gt;"",'Salesforce Dump'!G472,"")</f>
        <v/>
      </c>
      <c r="I475" s="49" t="str">
        <f>IF('Salesforce Dump'!H472&lt;&gt;"",'Salesforce Dump'!H472,"")</f>
        <v/>
      </c>
      <c r="J475" s="51" t="str">
        <f>IF('Salesforce Dump'!I472&lt;&gt;"",'Salesforce Dump'!I472,"")</f>
        <v/>
      </c>
      <c r="K475" s="51" t="str">
        <f>IF('Salesforce Dump'!J472&lt;&gt;"",'Salesforce Dump'!J472,"")</f>
        <v/>
      </c>
      <c r="L475" s="52" t="str">
        <f>IFERROR(INDEX('OBA Dump'!C:C,MATCH($E475*1,'OBA Dump'!$A:$A,0)),"")</f>
        <v/>
      </c>
      <c r="M475" s="52" t="str">
        <f>IFERROR(INDEX('OBA Dump'!D:D,MATCH($E475*1,'OBA Dump'!$A:$A,0)),"")</f>
        <v/>
      </c>
      <c r="N475" s="52"/>
      <c r="O475" s="52"/>
      <c r="P475" s="53"/>
      <c r="Q475" s="52"/>
      <c r="R475" s="38" t="str">
        <f>_xlfn.IFNA(VLOOKUP(E475,'Pre-Booked Holidays'!A:B,2,0),"")</f>
        <v/>
      </c>
      <c r="S475" s="38" t="str">
        <f>IF(E475="","",IF(IFERROR(VLOOKUP(E475,'Onbase Report'!D:E,2,0),"")&lt;&gt;"","Details in Onbase","No Details"))</f>
        <v/>
      </c>
      <c r="T475" s="38" t="str">
        <f>IF(LEFT('Salesforce Dump'!Q472,5)="BHX10",LEFT('Salesforce Dump'!Q472,5),LEFT('Salesforce Dump'!Q472,4))</f>
        <v/>
      </c>
      <c r="U475" s="38"/>
    </row>
    <row r="476" spans="1:21" ht="14.5" x14ac:dyDescent="0.35">
      <c r="A476" s="47" t="str">
        <f>IF('Salesforce Dump'!A473&lt;&gt;"",'Salesforce Dump'!A473,"")</f>
        <v/>
      </c>
      <c r="B476" s="48"/>
      <c r="C476" s="49" t="str">
        <f>IF('Salesforce Dump'!B473&lt;&gt;"",'Salesforce Dump'!B473,"")</f>
        <v/>
      </c>
      <c r="D476" s="48"/>
      <c r="E476" s="50" t="str">
        <f>IF('Salesforce Dump'!C473&lt;&gt;"",'Salesforce Dump'!C473,"")</f>
        <v/>
      </c>
      <c r="F476" s="49" t="str">
        <f>IF('Salesforce Dump'!D473&lt;&gt;"",'Salesforce Dump'!D473,"")</f>
        <v/>
      </c>
      <c r="G476" s="49" t="str">
        <f>IF('Salesforce Dump'!E473&lt;&gt;"",'Salesforce Dump'!E473,"")</f>
        <v/>
      </c>
      <c r="H476" s="49" t="str">
        <f>IF('Salesforce Dump'!G473&lt;&gt;"",'Salesforce Dump'!G473,"")</f>
        <v/>
      </c>
      <c r="I476" s="49" t="str">
        <f>IF('Salesforce Dump'!H473&lt;&gt;"",'Salesforce Dump'!H473,"")</f>
        <v/>
      </c>
      <c r="J476" s="51" t="str">
        <f>IF('Salesforce Dump'!I473&lt;&gt;"",'Salesforce Dump'!I473,"")</f>
        <v/>
      </c>
      <c r="K476" s="51" t="str">
        <f>IF('Salesforce Dump'!J473&lt;&gt;"",'Salesforce Dump'!J473,"")</f>
        <v/>
      </c>
      <c r="L476" s="52" t="str">
        <f>IFERROR(INDEX('OBA Dump'!C:C,MATCH($E476*1,'OBA Dump'!$A:$A,0)),"")</f>
        <v/>
      </c>
      <c r="M476" s="52" t="str">
        <f>IFERROR(INDEX('OBA Dump'!D:D,MATCH($E476*1,'OBA Dump'!$A:$A,0)),"")</f>
        <v/>
      </c>
      <c r="N476" s="52"/>
      <c r="O476" s="52"/>
      <c r="P476" s="53"/>
      <c r="Q476" s="52"/>
      <c r="R476" s="38" t="str">
        <f>_xlfn.IFNA(VLOOKUP(E476,'Pre-Booked Holidays'!A:B,2,0),"")</f>
        <v/>
      </c>
      <c r="S476" s="38" t="str">
        <f>IF(E476="","",IF(IFERROR(VLOOKUP(E476,'Onbase Report'!D:E,2,0),"")&lt;&gt;"","Details in Onbase","No Details"))</f>
        <v/>
      </c>
      <c r="T476" s="38" t="str">
        <f>IF(LEFT('Salesforce Dump'!Q473,5)="BHX10",LEFT('Salesforce Dump'!Q473,5),LEFT('Salesforce Dump'!Q473,4))</f>
        <v/>
      </c>
      <c r="U476" s="38"/>
    </row>
    <row r="477" spans="1:21" ht="14.5" x14ac:dyDescent="0.35">
      <c r="A477" s="47" t="str">
        <f>IF('Salesforce Dump'!A474&lt;&gt;"",'Salesforce Dump'!A474,"")</f>
        <v/>
      </c>
      <c r="B477" s="48"/>
      <c r="C477" s="49" t="str">
        <f>IF('Salesforce Dump'!B474&lt;&gt;"",'Salesforce Dump'!B474,"")</f>
        <v/>
      </c>
      <c r="D477" s="48"/>
      <c r="E477" s="50" t="str">
        <f>IF('Salesforce Dump'!C474&lt;&gt;"",'Salesforce Dump'!C474,"")</f>
        <v/>
      </c>
      <c r="F477" s="49" t="str">
        <f>IF('Salesforce Dump'!D474&lt;&gt;"",'Salesforce Dump'!D474,"")</f>
        <v/>
      </c>
      <c r="G477" s="49" t="str">
        <f>IF('Salesforce Dump'!E474&lt;&gt;"",'Salesforce Dump'!E474,"")</f>
        <v/>
      </c>
      <c r="H477" s="49" t="str">
        <f>IF('Salesforce Dump'!G474&lt;&gt;"",'Salesforce Dump'!G474,"")</f>
        <v/>
      </c>
      <c r="I477" s="49" t="str">
        <f>IF('Salesforce Dump'!H474&lt;&gt;"",'Salesforce Dump'!H474,"")</f>
        <v/>
      </c>
      <c r="J477" s="51" t="str">
        <f>IF('Salesforce Dump'!I474&lt;&gt;"",'Salesforce Dump'!I474,"")</f>
        <v/>
      </c>
      <c r="K477" s="51" t="str">
        <f>IF('Salesforce Dump'!J474&lt;&gt;"",'Salesforce Dump'!J474,"")</f>
        <v/>
      </c>
      <c r="L477" s="52" t="str">
        <f>IFERROR(INDEX('OBA Dump'!C:C,MATCH($E477*1,'OBA Dump'!$A:$A,0)),"")</f>
        <v/>
      </c>
      <c r="M477" s="52" t="str">
        <f>IFERROR(INDEX('OBA Dump'!D:D,MATCH($E477*1,'OBA Dump'!$A:$A,0)),"")</f>
        <v/>
      </c>
      <c r="N477" s="52"/>
      <c r="O477" s="52"/>
      <c r="P477" s="53"/>
      <c r="Q477" s="52"/>
      <c r="R477" s="38" t="str">
        <f>_xlfn.IFNA(VLOOKUP(E477,'Pre-Booked Holidays'!A:B,2,0),"")</f>
        <v/>
      </c>
      <c r="S477" s="38" t="str">
        <f>IF(E477="","",IF(IFERROR(VLOOKUP(E477,'Onbase Report'!D:E,2,0),"")&lt;&gt;"","Details in Onbase","No Details"))</f>
        <v/>
      </c>
      <c r="T477" s="38" t="str">
        <f>IF(LEFT('Salesforce Dump'!Q474,5)="BHX10",LEFT('Salesforce Dump'!Q474,5),LEFT('Salesforce Dump'!Q474,4))</f>
        <v/>
      </c>
      <c r="U477" s="38"/>
    </row>
    <row r="478" spans="1:21" ht="14.5" x14ac:dyDescent="0.35">
      <c r="A478" s="47" t="str">
        <f>IF('Salesforce Dump'!A475&lt;&gt;"",'Salesforce Dump'!A475,"")</f>
        <v/>
      </c>
      <c r="B478" s="48"/>
      <c r="C478" s="49" t="str">
        <f>IF('Salesforce Dump'!B475&lt;&gt;"",'Salesforce Dump'!B475,"")</f>
        <v/>
      </c>
      <c r="D478" s="48"/>
      <c r="E478" s="50" t="str">
        <f>IF('Salesforce Dump'!C475&lt;&gt;"",'Salesforce Dump'!C475,"")</f>
        <v/>
      </c>
      <c r="F478" s="49" t="str">
        <f>IF('Salesforce Dump'!D475&lt;&gt;"",'Salesforce Dump'!D475,"")</f>
        <v/>
      </c>
      <c r="G478" s="49" t="str">
        <f>IF('Salesforce Dump'!E475&lt;&gt;"",'Salesforce Dump'!E475,"")</f>
        <v/>
      </c>
      <c r="H478" s="49" t="str">
        <f>IF('Salesforce Dump'!G475&lt;&gt;"",'Salesforce Dump'!G475,"")</f>
        <v/>
      </c>
      <c r="I478" s="49" t="str">
        <f>IF('Salesforce Dump'!H475&lt;&gt;"",'Salesforce Dump'!H475,"")</f>
        <v/>
      </c>
      <c r="J478" s="51" t="str">
        <f>IF('Salesforce Dump'!I475&lt;&gt;"",'Salesforce Dump'!I475,"")</f>
        <v/>
      </c>
      <c r="K478" s="51" t="str">
        <f>IF('Salesforce Dump'!J475&lt;&gt;"",'Salesforce Dump'!J475,"")</f>
        <v/>
      </c>
      <c r="L478" s="52" t="str">
        <f>IFERROR(INDEX('OBA Dump'!C:C,MATCH($E478*1,'OBA Dump'!$A:$A,0)),"")</f>
        <v/>
      </c>
      <c r="M478" s="52" t="str">
        <f>IFERROR(INDEX('OBA Dump'!D:D,MATCH($E478*1,'OBA Dump'!$A:$A,0)),"")</f>
        <v/>
      </c>
      <c r="N478" s="52"/>
      <c r="O478" s="52"/>
      <c r="P478" s="53"/>
      <c r="Q478" s="52"/>
      <c r="R478" s="38" t="str">
        <f>_xlfn.IFNA(VLOOKUP(E478,'Pre-Booked Holidays'!A:B,2,0),"")</f>
        <v/>
      </c>
      <c r="S478" s="38" t="str">
        <f>IF(E478="","",IF(IFERROR(VLOOKUP(E478,'Onbase Report'!D:E,2,0),"")&lt;&gt;"","Details in Onbase","No Details"))</f>
        <v/>
      </c>
      <c r="T478" s="38" t="str">
        <f>IF(LEFT('Salesforce Dump'!Q475,5)="BHX10",LEFT('Salesforce Dump'!Q475,5),LEFT('Salesforce Dump'!Q475,4))</f>
        <v/>
      </c>
      <c r="U478" s="38"/>
    </row>
    <row r="479" spans="1:21" ht="14.5" x14ac:dyDescent="0.35">
      <c r="A479" s="47" t="str">
        <f>IF('Salesforce Dump'!A476&lt;&gt;"",'Salesforce Dump'!A476,"")</f>
        <v/>
      </c>
      <c r="B479" s="48"/>
      <c r="C479" s="49" t="str">
        <f>IF('Salesforce Dump'!B476&lt;&gt;"",'Salesforce Dump'!B476,"")</f>
        <v/>
      </c>
      <c r="D479" s="48"/>
      <c r="E479" s="50" t="str">
        <f>IF('Salesforce Dump'!C476&lt;&gt;"",'Salesforce Dump'!C476,"")</f>
        <v/>
      </c>
      <c r="F479" s="49" t="str">
        <f>IF('Salesforce Dump'!D476&lt;&gt;"",'Salesforce Dump'!D476,"")</f>
        <v/>
      </c>
      <c r="G479" s="49" t="str">
        <f>IF('Salesforce Dump'!E476&lt;&gt;"",'Salesforce Dump'!E476,"")</f>
        <v/>
      </c>
      <c r="H479" s="49" t="str">
        <f>IF('Salesforce Dump'!G476&lt;&gt;"",'Salesforce Dump'!G476,"")</f>
        <v/>
      </c>
      <c r="I479" s="49" t="str">
        <f>IF('Salesforce Dump'!H476&lt;&gt;"",'Salesforce Dump'!H476,"")</f>
        <v/>
      </c>
      <c r="J479" s="51" t="str">
        <f>IF('Salesforce Dump'!I476&lt;&gt;"",'Salesforce Dump'!I476,"")</f>
        <v/>
      </c>
      <c r="K479" s="51" t="str">
        <f>IF('Salesforce Dump'!J476&lt;&gt;"",'Salesforce Dump'!J476,"")</f>
        <v/>
      </c>
      <c r="L479" s="52" t="str">
        <f>IFERROR(INDEX('OBA Dump'!C:C,MATCH($E479*1,'OBA Dump'!$A:$A,0)),"")</f>
        <v/>
      </c>
      <c r="M479" s="52" t="str">
        <f>IFERROR(INDEX('OBA Dump'!D:D,MATCH($E479*1,'OBA Dump'!$A:$A,0)),"")</f>
        <v/>
      </c>
      <c r="N479" s="52"/>
      <c r="O479" s="52"/>
      <c r="P479" s="53"/>
      <c r="Q479" s="52"/>
      <c r="R479" s="38" t="str">
        <f>_xlfn.IFNA(VLOOKUP(E479,'Pre-Booked Holidays'!A:B,2,0),"")</f>
        <v/>
      </c>
      <c r="S479" s="38" t="str">
        <f>IF(E479="","",IF(IFERROR(VLOOKUP(E479,'Onbase Report'!D:E,2,0),"")&lt;&gt;"","Details in Onbase","No Details"))</f>
        <v/>
      </c>
      <c r="T479" s="38" t="str">
        <f>IF(LEFT('Salesforce Dump'!Q476,5)="BHX10",LEFT('Salesforce Dump'!Q476,5),LEFT('Salesforce Dump'!Q476,4))</f>
        <v/>
      </c>
      <c r="U479" s="38"/>
    </row>
    <row r="480" spans="1:21" ht="14.5" x14ac:dyDescent="0.35">
      <c r="A480" s="47" t="str">
        <f>IF('Salesforce Dump'!A477&lt;&gt;"",'Salesforce Dump'!A477,"")</f>
        <v/>
      </c>
      <c r="B480" s="48"/>
      <c r="C480" s="49" t="str">
        <f>IF('Salesforce Dump'!B477&lt;&gt;"",'Salesforce Dump'!B477,"")</f>
        <v/>
      </c>
      <c r="D480" s="48"/>
      <c r="E480" s="50" t="str">
        <f>IF('Salesforce Dump'!C477&lt;&gt;"",'Salesforce Dump'!C477,"")</f>
        <v/>
      </c>
      <c r="F480" s="49" t="str">
        <f>IF('Salesforce Dump'!D477&lt;&gt;"",'Salesforce Dump'!D477,"")</f>
        <v/>
      </c>
      <c r="G480" s="49" t="str">
        <f>IF('Salesforce Dump'!E477&lt;&gt;"",'Salesforce Dump'!E477,"")</f>
        <v/>
      </c>
      <c r="H480" s="49" t="str">
        <f>IF('Salesforce Dump'!G477&lt;&gt;"",'Salesforce Dump'!G477,"")</f>
        <v/>
      </c>
      <c r="I480" s="49" t="str">
        <f>IF('Salesforce Dump'!H477&lt;&gt;"",'Salesforce Dump'!H477,"")</f>
        <v/>
      </c>
      <c r="J480" s="51" t="str">
        <f>IF('Salesforce Dump'!I477&lt;&gt;"",'Salesforce Dump'!I477,"")</f>
        <v/>
      </c>
      <c r="K480" s="51" t="str">
        <f>IF('Salesforce Dump'!J477&lt;&gt;"",'Salesforce Dump'!J477,"")</f>
        <v/>
      </c>
      <c r="L480" s="52" t="str">
        <f>IFERROR(INDEX('OBA Dump'!C:C,MATCH($E480*1,'OBA Dump'!$A:$A,0)),"")</f>
        <v/>
      </c>
      <c r="M480" s="52" t="str">
        <f>IFERROR(INDEX('OBA Dump'!D:D,MATCH($E480*1,'OBA Dump'!$A:$A,0)),"")</f>
        <v/>
      </c>
      <c r="N480" s="52"/>
      <c r="O480" s="52"/>
      <c r="P480" s="53"/>
      <c r="Q480" s="52"/>
      <c r="R480" s="38" t="str">
        <f>_xlfn.IFNA(VLOOKUP(E480,'Pre-Booked Holidays'!A:B,2,0),"")</f>
        <v/>
      </c>
      <c r="S480" s="38" t="str">
        <f>IF(E480="","",IF(IFERROR(VLOOKUP(E480,'Onbase Report'!D:E,2,0),"")&lt;&gt;"","Details in Onbase","No Details"))</f>
        <v/>
      </c>
      <c r="T480" s="38" t="str">
        <f>IF(LEFT('Salesforce Dump'!Q477,5)="BHX10",LEFT('Salesforce Dump'!Q477,5),LEFT('Salesforce Dump'!Q477,4))</f>
        <v/>
      </c>
      <c r="U480" s="38"/>
    </row>
    <row r="481" spans="1:21" ht="14.5" x14ac:dyDescent="0.35">
      <c r="A481" s="47" t="str">
        <f>IF('Salesforce Dump'!A478&lt;&gt;"",'Salesforce Dump'!A478,"")</f>
        <v/>
      </c>
      <c r="B481" s="48"/>
      <c r="C481" s="49" t="str">
        <f>IF('Salesforce Dump'!B478&lt;&gt;"",'Salesforce Dump'!B478,"")</f>
        <v/>
      </c>
      <c r="D481" s="48"/>
      <c r="E481" s="50" t="str">
        <f>IF('Salesforce Dump'!C478&lt;&gt;"",'Salesforce Dump'!C478,"")</f>
        <v/>
      </c>
      <c r="F481" s="49" t="str">
        <f>IF('Salesforce Dump'!D478&lt;&gt;"",'Salesforce Dump'!D478,"")</f>
        <v/>
      </c>
      <c r="G481" s="49" t="str">
        <f>IF('Salesforce Dump'!E478&lt;&gt;"",'Salesforce Dump'!E478,"")</f>
        <v/>
      </c>
      <c r="H481" s="49" t="str">
        <f>IF('Salesforce Dump'!G478&lt;&gt;"",'Salesforce Dump'!G478,"")</f>
        <v/>
      </c>
      <c r="I481" s="49" t="str">
        <f>IF('Salesforce Dump'!H478&lt;&gt;"",'Salesforce Dump'!H478,"")</f>
        <v/>
      </c>
      <c r="J481" s="51" t="str">
        <f>IF('Salesforce Dump'!I478&lt;&gt;"",'Salesforce Dump'!I478,"")</f>
        <v/>
      </c>
      <c r="K481" s="51" t="str">
        <f>IF('Salesforce Dump'!J478&lt;&gt;"",'Salesforce Dump'!J478,"")</f>
        <v/>
      </c>
      <c r="L481" s="52" t="str">
        <f>IFERROR(INDEX('OBA Dump'!C:C,MATCH($E481*1,'OBA Dump'!$A:$A,0)),"")</f>
        <v/>
      </c>
      <c r="M481" s="52" t="str">
        <f>IFERROR(INDEX('OBA Dump'!D:D,MATCH($E481*1,'OBA Dump'!$A:$A,0)),"")</f>
        <v/>
      </c>
      <c r="N481" s="52"/>
      <c r="O481" s="52"/>
      <c r="P481" s="53"/>
      <c r="Q481" s="52"/>
      <c r="R481" s="38" t="str">
        <f>_xlfn.IFNA(VLOOKUP(E481,'Pre-Booked Holidays'!A:B,2,0),"")</f>
        <v/>
      </c>
      <c r="S481" s="38" t="str">
        <f>IF(E481="","",IF(IFERROR(VLOOKUP(E481,'Onbase Report'!D:E,2,0),"")&lt;&gt;"","Details in Onbase","No Details"))</f>
        <v/>
      </c>
      <c r="T481" s="38" t="str">
        <f>IF(LEFT('Salesforce Dump'!Q478,5)="BHX10",LEFT('Salesforce Dump'!Q478,5),LEFT('Salesforce Dump'!Q478,4))</f>
        <v/>
      </c>
      <c r="U481" s="38"/>
    </row>
    <row r="482" spans="1:21" ht="14.5" x14ac:dyDescent="0.35">
      <c r="A482" s="47" t="str">
        <f>IF('Salesforce Dump'!A479&lt;&gt;"",'Salesforce Dump'!A479,"")</f>
        <v/>
      </c>
      <c r="B482" s="48"/>
      <c r="C482" s="49" t="str">
        <f>IF('Salesforce Dump'!B479&lt;&gt;"",'Salesforce Dump'!B479,"")</f>
        <v/>
      </c>
      <c r="D482" s="48"/>
      <c r="E482" s="50" t="str">
        <f>IF('Salesforce Dump'!C479&lt;&gt;"",'Salesforce Dump'!C479,"")</f>
        <v/>
      </c>
      <c r="F482" s="49" t="str">
        <f>IF('Salesforce Dump'!D479&lt;&gt;"",'Salesforce Dump'!D479,"")</f>
        <v/>
      </c>
      <c r="G482" s="49" t="str">
        <f>IF('Salesforce Dump'!E479&lt;&gt;"",'Salesforce Dump'!E479,"")</f>
        <v/>
      </c>
      <c r="H482" s="49" t="str">
        <f>IF('Salesforce Dump'!G479&lt;&gt;"",'Salesforce Dump'!G479,"")</f>
        <v/>
      </c>
      <c r="I482" s="49" t="str">
        <f>IF('Salesforce Dump'!H479&lt;&gt;"",'Salesforce Dump'!H479,"")</f>
        <v/>
      </c>
      <c r="J482" s="51" t="str">
        <f>IF('Salesforce Dump'!I479&lt;&gt;"",'Salesforce Dump'!I479,"")</f>
        <v/>
      </c>
      <c r="K482" s="51" t="str">
        <f>IF('Salesforce Dump'!J479&lt;&gt;"",'Salesforce Dump'!J479,"")</f>
        <v/>
      </c>
      <c r="L482" s="52" t="str">
        <f>IFERROR(INDEX('OBA Dump'!C:C,MATCH($E482*1,'OBA Dump'!$A:$A,0)),"")</f>
        <v/>
      </c>
      <c r="M482" s="52" t="str">
        <f>IFERROR(INDEX('OBA Dump'!D:D,MATCH($E482*1,'OBA Dump'!$A:$A,0)),"")</f>
        <v/>
      </c>
      <c r="N482" s="52"/>
      <c r="O482" s="52"/>
      <c r="P482" s="53"/>
      <c r="Q482" s="52"/>
      <c r="R482" s="38" t="str">
        <f>_xlfn.IFNA(VLOOKUP(E482,'Pre-Booked Holidays'!A:B,2,0),"")</f>
        <v/>
      </c>
      <c r="S482" s="38" t="str">
        <f>IF(E482="","",IF(IFERROR(VLOOKUP(E482,'Onbase Report'!D:E,2,0),"")&lt;&gt;"","Details in Onbase","No Details"))</f>
        <v/>
      </c>
      <c r="T482" s="38" t="str">
        <f>IF(LEFT('Salesforce Dump'!Q479,5)="BHX10",LEFT('Salesforce Dump'!Q479,5),LEFT('Salesforce Dump'!Q479,4))</f>
        <v/>
      </c>
      <c r="U482" s="38"/>
    </row>
    <row r="483" spans="1:21" ht="14.5" x14ac:dyDescent="0.35">
      <c r="A483" s="47" t="str">
        <f>IF('Salesforce Dump'!A480&lt;&gt;"",'Salesforce Dump'!A480,"")</f>
        <v/>
      </c>
      <c r="B483" s="48"/>
      <c r="C483" s="49" t="str">
        <f>IF('Salesforce Dump'!B480&lt;&gt;"",'Salesforce Dump'!B480,"")</f>
        <v/>
      </c>
      <c r="D483" s="48"/>
      <c r="E483" s="50" t="str">
        <f>IF('Salesforce Dump'!C480&lt;&gt;"",'Salesforce Dump'!C480,"")</f>
        <v/>
      </c>
      <c r="F483" s="49" t="str">
        <f>IF('Salesforce Dump'!D480&lt;&gt;"",'Salesforce Dump'!D480,"")</f>
        <v/>
      </c>
      <c r="G483" s="49" t="str">
        <f>IF('Salesforce Dump'!E480&lt;&gt;"",'Salesforce Dump'!E480,"")</f>
        <v/>
      </c>
      <c r="H483" s="49" t="str">
        <f>IF('Salesforce Dump'!G480&lt;&gt;"",'Salesforce Dump'!G480,"")</f>
        <v/>
      </c>
      <c r="I483" s="49" t="str">
        <f>IF('Salesforce Dump'!H480&lt;&gt;"",'Salesforce Dump'!H480,"")</f>
        <v/>
      </c>
      <c r="J483" s="51" t="str">
        <f>IF('Salesforce Dump'!I480&lt;&gt;"",'Salesforce Dump'!I480,"")</f>
        <v/>
      </c>
      <c r="K483" s="51" t="str">
        <f>IF('Salesforce Dump'!J480&lt;&gt;"",'Salesforce Dump'!J480,"")</f>
        <v/>
      </c>
      <c r="L483" s="52" t="str">
        <f>IFERROR(INDEX('OBA Dump'!C:C,MATCH($E483*1,'OBA Dump'!$A:$A,0)),"")</f>
        <v/>
      </c>
      <c r="M483" s="52" t="str">
        <f>IFERROR(INDEX('OBA Dump'!D:D,MATCH($E483*1,'OBA Dump'!$A:$A,0)),"")</f>
        <v/>
      </c>
      <c r="N483" s="52"/>
      <c r="O483" s="52"/>
      <c r="P483" s="53"/>
      <c r="Q483" s="52"/>
      <c r="R483" s="38" t="str">
        <f>_xlfn.IFNA(VLOOKUP(E483,'Pre-Booked Holidays'!A:B,2,0),"")</f>
        <v/>
      </c>
      <c r="S483" s="38" t="str">
        <f>IF(E483="","",IF(IFERROR(VLOOKUP(E483,'Onbase Report'!D:E,2,0),"")&lt;&gt;"","Details in Onbase","No Details"))</f>
        <v/>
      </c>
      <c r="T483" s="38" t="str">
        <f>IF(LEFT('Salesforce Dump'!Q480,5)="BHX10",LEFT('Salesforce Dump'!Q480,5),LEFT('Salesforce Dump'!Q480,4))</f>
        <v/>
      </c>
      <c r="U483" s="38"/>
    </row>
    <row r="484" spans="1:21" ht="14.5" x14ac:dyDescent="0.35">
      <c r="A484" s="47" t="str">
        <f>IF('Salesforce Dump'!A481&lt;&gt;"",'Salesforce Dump'!A481,"")</f>
        <v/>
      </c>
      <c r="B484" s="48"/>
      <c r="C484" s="49" t="str">
        <f>IF('Salesforce Dump'!B481&lt;&gt;"",'Salesforce Dump'!B481,"")</f>
        <v/>
      </c>
      <c r="D484" s="48"/>
      <c r="E484" s="50" t="str">
        <f>IF('Salesforce Dump'!C481&lt;&gt;"",'Salesforce Dump'!C481,"")</f>
        <v/>
      </c>
      <c r="F484" s="49" t="str">
        <f>IF('Salesforce Dump'!D481&lt;&gt;"",'Salesforce Dump'!D481,"")</f>
        <v/>
      </c>
      <c r="G484" s="49" t="str">
        <f>IF('Salesforce Dump'!E481&lt;&gt;"",'Salesforce Dump'!E481,"")</f>
        <v/>
      </c>
      <c r="H484" s="49" t="str">
        <f>IF('Salesforce Dump'!G481&lt;&gt;"",'Salesforce Dump'!G481,"")</f>
        <v/>
      </c>
      <c r="I484" s="49" t="str">
        <f>IF('Salesforce Dump'!H481&lt;&gt;"",'Salesforce Dump'!H481,"")</f>
        <v/>
      </c>
      <c r="J484" s="51" t="str">
        <f>IF('Salesforce Dump'!I481&lt;&gt;"",'Salesforce Dump'!I481,"")</f>
        <v/>
      </c>
      <c r="K484" s="51" t="str">
        <f>IF('Salesforce Dump'!J481&lt;&gt;"",'Salesforce Dump'!J481,"")</f>
        <v/>
      </c>
      <c r="L484" s="52" t="str">
        <f>IFERROR(INDEX('OBA Dump'!C:C,MATCH($E484*1,'OBA Dump'!$A:$A,0)),"")</f>
        <v/>
      </c>
      <c r="M484" s="52" t="str">
        <f>IFERROR(INDEX('OBA Dump'!D:D,MATCH($E484*1,'OBA Dump'!$A:$A,0)),"")</f>
        <v/>
      </c>
      <c r="N484" s="52"/>
      <c r="O484" s="52"/>
      <c r="P484" s="53"/>
      <c r="Q484" s="52"/>
      <c r="R484" s="38" t="str">
        <f>_xlfn.IFNA(VLOOKUP(E484,'Pre-Booked Holidays'!A:B,2,0),"")</f>
        <v/>
      </c>
      <c r="S484" s="38" t="str">
        <f>IF(E484="","",IF(IFERROR(VLOOKUP(E484,'Onbase Report'!D:E,2,0),"")&lt;&gt;"","Details in Onbase","No Details"))</f>
        <v/>
      </c>
      <c r="T484" s="38" t="str">
        <f>IF(LEFT('Salesforce Dump'!Q481,5)="BHX10",LEFT('Salesforce Dump'!Q481,5),LEFT('Salesforce Dump'!Q481,4))</f>
        <v/>
      </c>
      <c r="U484" s="38"/>
    </row>
    <row r="485" spans="1:21" ht="14.5" x14ac:dyDescent="0.35">
      <c r="A485" s="47" t="str">
        <f>IF('Salesforce Dump'!A482&lt;&gt;"",'Salesforce Dump'!A482,"")</f>
        <v/>
      </c>
      <c r="B485" s="48"/>
      <c r="C485" s="49" t="str">
        <f>IF('Salesforce Dump'!B482&lt;&gt;"",'Salesforce Dump'!B482,"")</f>
        <v/>
      </c>
      <c r="D485" s="48"/>
      <c r="E485" s="50" t="str">
        <f>IF('Salesforce Dump'!C482&lt;&gt;"",'Salesforce Dump'!C482,"")</f>
        <v/>
      </c>
      <c r="F485" s="49" t="str">
        <f>IF('Salesforce Dump'!D482&lt;&gt;"",'Salesforce Dump'!D482,"")</f>
        <v/>
      </c>
      <c r="G485" s="49" t="str">
        <f>IF('Salesforce Dump'!E482&lt;&gt;"",'Salesforce Dump'!E482,"")</f>
        <v/>
      </c>
      <c r="H485" s="49" t="str">
        <f>IF('Salesforce Dump'!G482&lt;&gt;"",'Salesforce Dump'!G482,"")</f>
        <v/>
      </c>
      <c r="I485" s="49" t="str">
        <f>IF('Salesforce Dump'!H482&lt;&gt;"",'Salesforce Dump'!H482,"")</f>
        <v/>
      </c>
      <c r="J485" s="51" t="str">
        <f>IF('Salesforce Dump'!I482&lt;&gt;"",'Salesforce Dump'!I482,"")</f>
        <v/>
      </c>
      <c r="K485" s="51" t="str">
        <f>IF('Salesforce Dump'!J482&lt;&gt;"",'Salesforce Dump'!J482,"")</f>
        <v/>
      </c>
      <c r="L485" s="52" t="str">
        <f>IFERROR(INDEX('OBA Dump'!C:C,MATCH($E485*1,'OBA Dump'!$A:$A,0)),"")</f>
        <v/>
      </c>
      <c r="M485" s="52" t="str">
        <f>IFERROR(INDEX('OBA Dump'!D:D,MATCH($E485*1,'OBA Dump'!$A:$A,0)),"")</f>
        <v/>
      </c>
      <c r="N485" s="52"/>
      <c r="O485" s="52"/>
      <c r="P485" s="53"/>
      <c r="Q485" s="52"/>
      <c r="R485" s="38" t="str">
        <f>_xlfn.IFNA(VLOOKUP(E485,'Pre-Booked Holidays'!A:B,2,0),"")</f>
        <v/>
      </c>
      <c r="S485" s="38" t="str">
        <f>IF(E485="","",IF(IFERROR(VLOOKUP(E485,'Onbase Report'!D:E,2,0),"")&lt;&gt;"","Details in Onbase","No Details"))</f>
        <v/>
      </c>
      <c r="T485" s="38" t="str">
        <f>IF(LEFT('Salesforce Dump'!Q482,5)="BHX10",LEFT('Salesforce Dump'!Q482,5),LEFT('Salesforce Dump'!Q482,4))</f>
        <v/>
      </c>
      <c r="U485" s="38"/>
    </row>
    <row r="486" spans="1:21" ht="14.5" x14ac:dyDescent="0.35">
      <c r="A486" s="47" t="str">
        <f>IF('Salesforce Dump'!A483&lt;&gt;"",'Salesforce Dump'!A483,"")</f>
        <v/>
      </c>
      <c r="B486" s="48"/>
      <c r="C486" s="49" t="str">
        <f>IF('Salesforce Dump'!B483&lt;&gt;"",'Salesforce Dump'!B483,"")</f>
        <v/>
      </c>
      <c r="D486" s="48"/>
      <c r="E486" s="50" t="str">
        <f>IF('Salesforce Dump'!C483&lt;&gt;"",'Salesforce Dump'!C483,"")</f>
        <v/>
      </c>
      <c r="F486" s="49" t="str">
        <f>IF('Salesforce Dump'!D483&lt;&gt;"",'Salesforce Dump'!D483,"")</f>
        <v/>
      </c>
      <c r="G486" s="49" t="str">
        <f>IF('Salesforce Dump'!E483&lt;&gt;"",'Salesforce Dump'!E483,"")</f>
        <v/>
      </c>
      <c r="H486" s="49" t="str">
        <f>IF('Salesforce Dump'!G483&lt;&gt;"",'Salesforce Dump'!G483,"")</f>
        <v/>
      </c>
      <c r="I486" s="49" t="str">
        <f>IF('Salesforce Dump'!H483&lt;&gt;"",'Salesforce Dump'!H483,"")</f>
        <v/>
      </c>
      <c r="J486" s="51" t="str">
        <f>IF('Salesforce Dump'!I483&lt;&gt;"",'Salesforce Dump'!I483,"")</f>
        <v/>
      </c>
      <c r="K486" s="51" t="str">
        <f>IF('Salesforce Dump'!J483&lt;&gt;"",'Salesforce Dump'!J483,"")</f>
        <v/>
      </c>
      <c r="L486" s="52" t="str">
        <f>IFERROR(INDEX('OBA Dump'!C:C,MATCH($E486*1,'OBA Dump'!$A:$A,0)),"")</f>
        <v/>
      </c>
      <c r="M486" s="52" t="str">
        <f>IFERROR(INDEX('OBA Dump'!D:D,MATCH($E486*1,'OBA Dump'!$A:$A,0)),"")</f>
        <v/>
      </c>
      <c r="N486" s="52"/>
      <c r="O486" s="52"/>
      <c r="P486" s="53"/>
      <c r="Q486" s="52"/>
      <c r="R486" s="38" t="str">
        <f>_xlfn.IFNA(VLOOKUP(E486,'Pre-Booked Holidays'!A:B,2,0),"")</f>
        <v/>
      </c>
      <c r="S486" s="38" t="str">
        <f>IF(E486="","",IF(IFERROR(VLOOKUP(E486,'Onbase Report'!D:E,2,0),"")&lt;&gt;"","Details in Onbase","No Details"))</f>
        <v/>
      </c>
      <c r="T486" s="38" t="str">
        <f>IF(LEFT('Salesforce Dump'!Q483,5)="BHX10",LEFT('Salesforce Dump'!Q483,5),LEFT('Salesforce Dump'!Q483,4))</f>
        <v/>
      </c>
      <c r="U486" s="38"/>
    </row>
    <row r="487" spans="1:21" ht="14.5" x14ac:dyDescent="0.35">
      <c r="A487" s="47" t="str">
        <f>IF('Salesforce Dump'!A484&lt;&gt;"",'Salesforce Dump'!A484,"")</f>
        <v/>
      </c>
      <c r="B487" s="48"/>
      <c r="C487" s="49" t="str">
        <f>IF('Salesforce Dump'!B484&lt;&gt;"",'Salesforce Dump'!B484,"")</f>
        <v/>
      </c>
      <c r="D487" s="48"/>
      <c r="E487" s="50" t="str">
        <f>IF('Salesforce Dump'!C484&lt;&gt;"",'Salesforce Dump'!C484,"")</f>
        <v/>
      </c>
      <c r="F487" s="49" t="str">
        <f>IF('Salesforce Dump'!D484&lt;&gt;"",'Salesforce Dump'!D484,"")</f>
        <v/>
      </c>
      <c r="G487" s="49" t="str">
        <f>IF('Salesforce Dump'!E484&lt;&gt;"",'Salesforce Dump'!E484,"")</f>
        <v/>
      </c>
      <c r="H487" s="49" t="str">
        <f>IF('Salesforce Dump'!G484&lt;&gt;"",'Salesforce Dump'!G484,"")</f>
        <v/>
      </c>
      <c r="I487" s="49" t="str">
        <f>IF('Salesforce Dump'!H484&lt;&gt;"",'Salesforce Dump'!H484,"")</f>
        <v/>
      </c>
      <c r="J487" s="51" t="str">
        <f>IF('Salesforce Dump'!I484&lt;&gt;"",'Salesforce Dump'!I484,"")</f>
        <v/>
      </c>
      <c r="K487" s="51" t="str">
        <f>IF('Salesforce Dump'!J484&lt;&gt;"",'Salesforce Dump'!J484,"")</f>
        <v/>
      </c>
      <c r="L487" s="52" t="str">
        <f>IFERROR(INDEX('OBA Dump'!C:C,MATCH($E487*1,'OBA Dump'!$A:$A,0)),"")</f>
        <v/>
      </c>
      <c r="M487" s="52" t="str">
        <f>IFERROR(INDEX('OBA Dump'!D:D,MATCH($E487*1,'OBA Dump'!$A:$A,0)),"")</f>
        <v/>
      </c>
      <c r="N487" s="52"/>
      <c r="O487" s="52"/>
      <c r="P487" s="53"/>
      <c r="Q487" s="52"/>
      <c r="R487" s="38" t="str">
        <f>_xlfn.IFNA(VLOOKUP(E487,'Pre-Booked Holidays'!A:B,2,0),"")</f>
        <v/>
      </c>
      <c r="S487" s="38" t="str">
        <f>IF(E487="","",IF(IFERROR(VLOOKUP(E487,'Onbase Report'!D:E,2,0),"")&lt;&gt;"","Details in Onbase","No Details"))</f>
        <v/>
      </c>
      <c r="T487" s="38" t="str">
        <f>IF(LEFT('Salesforce Dump'!Q484,5)="BHX10",LEFT('Salesforce Dump'!Q484,5),LEFT('Salesforce Dump'!Q484,4))</f>
        <v/>
      </c>
      <c r="U487" s="38"/>
    </row>
    <row r="488" spans="1:21" ht="14.5" x14ac:dyDescent="0.35">
      <c r="A488" s="47" t="str">
        <f>IF('Salesforce Dump'!A485&lt;&gt;"",'Salesforce Dump'!A485,"")</f>
        <v/>
      </c>
      <c r="B488" s="48"/>
      <c r="C488" s="49" t="str">
        <f>IF('Salesforce Dump'!B485&lt;&gt;"",'Salesforce Dump'!B485,"")</f>
        <v/>
      </c>
      <c r="D488" s="48"/>
      <c r="E488" s="50" t="str">
        <f>IF('Salesforce Dump'!C485&lt;&gt;"",'Salesforce Dump'!C485,"")</f>
        <v/>
      </c>
      <c r="F488" s="49" t="str">
        <f>IF('Salesforce Dump'!D485&lt;&gt;"",'Salesforce Dump'!D485,"")</f>
        <v/>
      </c>
      <c r="G488" s="49" t="str">
        <f>IF('Salesforce Dump'!E485&lt;&gt;"",'Salesforce Dump'!E485,"")</f>
        <v/>
      </c>
      <c r="H488" s="49" t="str">
        <f>IF('Salesforce Dump'!G485&lt;&gt;"",'Salesforce Dump'!G485,"")</f>
        <v/>
      </c>
      <c r="I488" s="49" t="str">
        <f>IF('Salesforce Dump'!H485&lt;&gt;"",'Salesforce Dump'!H485,"")</f>
        <v/>
      </c>
      <c r="J488" s="51" t="str">
        <f>IF('Salesforce Dump'!I485&lt;&gt;"",'Salesforce Dump'!I485,"")</f>
        <v/>
      </c>
      <c r="K488" s="51" t="str">
        <f>IF('Salesforce Dump'!J485&lt;&gt;"",'Salesforce Dump'!J485,"")</f>
        <v/>
      </c>
      <c r="L488" s="52" t="str">
        <f>IFERROR(INDEX('OBA Dump'!C:C,MATCH($E488*1,'OBA Dump'!$A:$A,0)),"")</f>
        <v/>
      </c>
      <c r="M488" s="52" t="str">
        <f>IFERROR(INDEX('OBA Dump'!D:D,MATCH($E488*1,'OBA Dump'!$A:$A,0)),"")</f>
        <v/>
      </c>
      <c r="N488" s="52"/>
      <c r="O488" s="52"/>
      <c r="P488" s="53"/>
      <c r="Q488" s="52"/>
      <c r="R488" s="38" t="str">
        <f>_xlfn.IFNA(VLOOKUP(E488,'Pre-Booked Holidays'!A:B,2,0),"")</f>
        <v/>
      </c>
      <c r="S488" s="38" t="str">
        <f>IF(E488="","",IF(IFERROR(VLOOKUP(E488,'Onbase Report'!D:E,2,0),"")&lt;&gt;"","Details in Onbase","No Details"))</f>
        <v/>
      </c>
      <c r="T488" s="38" t="str">
        <f>IF(LEFT('Salesforce Dump'!Q485,5)="BHX10",LEFT('Salesforce Dump'!Q485,5),LEFT('Salesforce Dump'!Q485,4))</f>
        <v/>
      </c>
      <c r="U488" s="38"/>
    </row>
    <row r="489" spans="1:21" ht="14.5" x14ac:dyDescent="0.35">
      <c r="A489" s="47" t="str">
        <f>IF('Salesforce Dump'!A486&lt;&gt;"",'Salesforce Dump'!A486,"")</f>
        <v/>
      </c>
      <c r="B489" s="48"/>
      <c r="C489" s="49" t="str">
        <f>IF('Salesforce Dump'!B486&lt;&gt;"",'Salesforce Dump'!B486,"")</f>
        <v/>
      </c>
      <c r="D489" s="48"/>
      <c r="E489" s="50" t="str">
        <f>IF('Salesforce Dump'!C486&lt;&gt;"",'Salesforce Dump'!C486,"")</f>
        <v/>
      </c>
      <c r="F489" s="49" t="str">
        <f>IF('Salesforce Dump'!D486&lt;&gt;"",'Salesforce Dump'!D486,"")</f>
        <v/>
      </c>
      <c r="G489" s="49" t="str">
        <f>IF('Salesforce Dump'!E486&lt;&gt;"",'Salesforce Dump'!E486,"")</f>
        <v/>
      </c>
      <c r="H489" s="49" t="str">
        <f>IF('Salesforce Dump'!G486&lt;&gt;"",'Salesforce Dump'!G486,"")</f>
        <v/>
      </c>
      <c r="I489" s="49" t="str">
        <f>IF('Salesforce Dump'!H486&lt;&gt;"",'Salesforce Dump'!H486,"")</f>
        <v/>
      </c>
      <c r="J489" s="51" t="str">
        <f>IF('Salesforce Dump'!I486&lt;&gt;"",'Salesforce Dump'!I486,"")</f>
        <v/>
      </c>
      <c r="K489" s="51" t="str">
        <f>IF('Salesforce Dump'!J486&lt;&gt;"",'Salesforce Dump'!J486,"")</f>
        <v/>
      </c>
      <c r="L489" s="52" t="str">
        <f>IFERROR(INDEX('OBA Dump'!C:C,MATCH($E489*1,'OBA Dump'!$A:$A,0)),"")</f>
        <v/>
      </c>
      <c r="M489" s="52" t="str">
        <f>IFERROR(INDEX('OBA Dump'!D:D,MATCH($E489*1,'OBA Dump'!$A:$A,0)),"")</f>
        <v/>
      </c>
      <c r="N489" s="52"/>
      <c r="O489" s="52"/>
      <c r="P489" s="53"/>
      <c r="Q489" s="52"/>
      <c r="R489" s="38" t="str">
        <f>_xlfn.IFNA(VLOOKUP(E489,'Pre-Booked Holidays'!A:B,2,0),"")</f>
        <v/>
      </c>
      <c r="S489" s="38" t="str">
        <f>IF(E489="","",IF(IFERROR(VLOOKUP(E489,'Onbase Report'!D:E,2,0),"")&lt;&gt;"","Details in Onbase","No Details"))</f>
        <v/>
      </c>
      <c r="T489" s="38" t="str">
        <f>IF(LEFT('Salesforce Dump'!Q486,5)="BHX10",LEFT('Salesforce Dump'!Q486,5),LEFT('Salesforce Dump'!Q486,4))</f>
        <v/>
      </c>
      <c r="U489" s="38"/>
    </row>
    <row r="490" spans="1:21" ht="14.5" x14ac:dyDescent="0.35">
      <c r="A490" s="47" t="str">
        <f>IF('Salesforce Dump'!A487&lt;&gt;"",'Salesforce Dump'!A487,"")</f>
        <v/>
      </c>
      <c r="B490" s="48"/>
      <c r="C490" s="49" t="str">
        <f>IF('Salesforce Dump'!B487&lt;&gt;"",'Salesforce Dump'!B487,"")</f>
        <v/>
      </c>
      <c r="D490" s="48"/>
      <c r="E490" s="50" t="str">
        <f>IF('Salesforce Dump'!C487&lt;&gt;"",'Salesforce Dump'!C487,"")</f>
        <v/>
      </c>
      <c r="F490" s="49" t="str">
        <f>IF('Salesforce Dump'!D487&lt;&gt;"",'Salesforce Dump'!D487,"")</f>
        <v/>
      </c>
      <c r="G490" s="49" t="str">
        <f>IF('Salesforce Dump'!E487&lt;&gt;"",'Salesforce Dump'!E487,"")</f>
        <v/>
      </c>
      <c r="H490" s="49" t="str">
        <f>IF('Salesforce Dump'!G487&lt;&gt;"",'Salesforce Dump'!G487,"")</f>
        <v/>
      </c>
      <c r="I490" s="49" t="str">
        <f>IF('Salesforce Dump'!H487&lt;&gt;"",'Salesforce Dump'!H487,"")</f>
        <v/>
      </c>
      <c r="J490" s="51" t="str">
        <f>IF('Salesforce Dump'!I487&lt;&gt;"",'Salesforce Dump'!I487,"")</f>
        <v/>
      </c>
      <c r="K490" s="51" t="str">
        <f>IF('Salesforce Dump'!J487&lt;&gt;"",'Salesforce Dump'!J487,"")</f>
        <v/>
      </c>
      <c r="L490" s="52" t="str">
        <f>IFERROR(INDEX('OBA Dump'!C:C,MATCH($E490*1,'OBA Dump'!$A:$A,0)),"")</f>
        <v/>
      </c>
      <c r="M490" s="52" t="str">
        <f>IFERROR(INDEX('OBA Dump'!D:D,MATCH($E490*1,'OBA Dump'!$A:$A,0)),"")</f>
        <v/>
      </c>
      <c r="N490" s="52"/>
      <c r="O490" s="52"/>
      <c r="P490" s="53"/>
      <c r="Q490" s="52"/>
      <c r="R490" s="38" t="str">
        <f>_xlfn.IFNA(VLOOKUP(E490,'Pre-Booked Holidays'!A:B,2,0),"")</f>
        <v/>
      </c>
      <c r="S490" s="38" t="str">
        <f>IF(E490="","",IF(IFERROR(VLOOKUP(E490,'Onbase Report'!D:E,2,0),"")&lt;&gt;"","Details in Onbase","No Details"))</f>
        <v/>
      </c>
      <c r="T490" s="38" t="str">
        <f>IF(LEFT('Salesforce Dump'!Q487,5)="BHX10",LEFT('Salesforce Dump'!Q487,5),LEFT('Salesforce Dump'!Q487,4))</f>
        <v/>
      </c>
      <c r="U490" s="38"/>
    </row>
    <row r="491" spans="1:21" ht="14.5" x14ac:dyDescent="0.35">
      <c r="A491" s="47" t="str">
        <f>IF('Salesforce Dump'!A488&lt;&gt;"",'Salesforce Dump'!A488,"")</f>
        <v/>
      </c>
      <c r="B491" s="48"/>
      <c r="C491" s="49" t="str">
        <f>IF('Salesforce Dump'!B488&lt;&gt;"",'Salesforce Dump'!B488,"")</f>
        <v/>
      </c>
      <c r="D491" s="48"/>
      <c r="E491" s="50" t="str">
        <f>IF('Salesforce Dump'!C488&lt;&gt;"",'Salesforce Dump'!C488,"")</f>
        <v/>
      </c>
      <c r="F491" s="49" t="str">
        <f>IF('Salesforce Dump'!D488&lt;&gt;"",'Salesforce Dump'!D488,"")</f>
        <v/>
      </c>
      <c r="G491" s="49" t="str">
        <f>IF('Salesforce Dump'!E488&lt;&gt;"",'Salesforce Dump'!E488,"")</f>
        <v/>
      </c>
      <c r="H491" s="49" t="str">
        <f>IF('Salesforce Dump'!G488&lt;&gt;"",'Salesforce Dump'!G488,"")</f>
        <v/>
      </c>
      <c r="I491" s="49" t="str">
        <f>IF('Salesforce Dump'!H488&lt;&gt;"",'Salesforce Dump'!H488,"")</f>
        <v/>
      </c>
      <c r="J491" s="51" t="str">
        <f>IF('Salesforce Dump'!I488&lt;&gt;"",'Salesforce Dump'!I488,"")</f>
        <v/>
      </c>
      <c r="K491" s="51" t="str">
        <f>IF('Salesforce Dump'!J488&lt;&gt;"",'Salesforce Dump'!J488,"")</f>
        <v/>
      </c>
      <c r="L491" s="52" t="str">
        <f>IFERROR(INDEX('OBA Dump'!C:C,MATCH($E491*1,'OBA Dump'!$A:$A,0)),"")</f>
        <v/>
      </c>
      <c r="M491" s="52" t="str">
        <f>IFERROR(INDEX('OBA Dump'!D:D,MATCH($E491*1,'OBA Dump'!$A:$A,0)),"")</f>
        <v/>
      </c>
      <c r="N491" s="52"/>
      <c r="O491" s="52"/>
      <c r="P491" s="53"/>
      <c r="Q491" s="52"/>
      <c r="R491" s="38" t="str">
        <f>_xlfn.IFNA(VLOOKUP(E491,'Pre-Booked Holidays'!A:B,2,0),"")</f>
        <v/>
      </c>
      <c r="S491" s="38" t="str">
        <f>IF(E491="","",IF(IFERROR(VLOOKUP(E491,'Onbase Report'!D:E,2,0),"")&lt;&gt;"","Details in Onbase","No Details"))</f>
        <v/>
      </c>
      <c r="T491" s="38" t="str">
        <f>IF(LEFT('Salesforce Dump'!Q488,5)="BHX10",LEFT('Salesforce Dump'!Q488,5),LEFT('Salesforce Dump'!Q488,4))</f>
        <v/>
      </c>
      <c r="U491" s="38"/>
    </row>
    <row r="492" spans="1:21" ht="14.5" x14ac:dyDescent="0.35">
      <c r="A492" s="47" t="str">
        <f>IF('Salesforce Dump'!A489&lt;&gt;"",'Salesforce Dump'!A489,"")</f>
        <v/>
      </c>
      <c r="B492" s="48"/>
      <c r="C492" s="49" t="str">
        <f>IF('Salesforce Dump'!B489&lt;&gt;"",'Salesforce Dump'!B489,"")</f>
        <v/>
      </c>
      <c r="D492" s="48"/>
      <c r="E492" s="50" t="str">
        <f>IF('Salesforce Dump'!C489&lt;&gt;"",'Salesforce Dump'!C489,"")</f>
        <v/>
      </c>
      <c r="F492" s="49" t="str">
        <f>IF('Salesforce Dump'!D489&lt;&gt;"",'Salesforce Dump'!D489,"")</f>
        <v/>
      </c>
      <c r="G492" s="49" t="str">
        <f>IF('Salesforce Dump'!E489&lt;&gt;"",'Salesforce Dump'!E489,"")</f>
        <v/>
      </c>
      <c r="H492" s="49" t="str">
        <f>IF('Salesforce Dump'!G489&lt;&gt;"",'Salesforce Dump'!G489,"")</f>
        <v/>
      </c>
      <c r="I492" s="49" t="str">
        <f>IF('Salesforce Dump'!H489&lt;&gt;"",'Salesforce Dump'!H489,"")</f>
        <v/>
      </c>
      <c r="J492" s="51" t="str">
        <f>IF('Salesforce Dump'!I489&lt;&gt;"",'Salesforce Dump'!I489,"")</f>
        <v/>
      </c>
      <c r="K492" s="51" t="str">
        <f>IF('Salesforce Dump'!J489&lt;&gt;"",'Salesforce Dump'!J489,"")</f>
        <v/>
      </c>
      <c r="L492" s="52" t="str">
        <f>IFERROR(INDEX('OBA Dump'!C:C,MATCH($E492*1,'OBA Dump'!$A:$A,0)),"")</f>
        <v/>
      </c>
      <c r="M492" s="52" t="str">
        <f>IFERROR(INDEX('OBA Dump'!D:D,MATCH($E492*1,'OBA Dump'!$A:$A,0)),"")</f>
        <v/>
      </c>
      <c r="N492" s="52"/>
      <c r="O492" s="52"/>
      <c r="P492" s="53"/>
      <c r="Q492" s="52"/>
      <c r="R492" s="38" t="str">
        <f>_xlfn.IFNA(VLOOKUP(E492,'Pre-Booked Holidays'!A:B,2,0),"")</f>
        <v/>
      </c>
      <c r="S492" s="38" t="str">
        <f>IF(E492="","",IF(IFERROR(VLOOKUP(E492,'Onbase Report'!D:E,2,0),"")&lt;&gt;"","Details in Onbase","No Details"))</f>
        <v/>
      </c>
      <c r="T492" s="38" t="str">
        <f>IF(LEFT('Salesforce Dump'!Q489,5)="BHX10",LEFT('Salesforce Dump'!Q489,5),LEFT('Salesforce Dump'!Q489,4))</f>
        <v/>
      </c>
      <c r="U492" s="38"/>
    </row>
    <row r="493" spans="1:21" ht="14.5" x14ac:dyDescent="0.35">
      <c r="A493" s="47" t="str">
        <f>IF('Salesforce Dump'!A490&lt;&gt;"",'Salesforce Dump'!A490,"")</f>
        <v/>
      </c>
      <c r="B493" s="48"/>
      <c r="C493" s="49" t="str">
        <f>IF('Salesforce Dump'!B490&lt;&gt;"",'Salesforce Dump'!B490,"")</f>
        <v/>
      </c>
      <c r="D493" s="48"/>
      <c r="E493" s="50" t="str">
        <f>IF('Salesforce Dump'!C490&lt;&gt;"",'Salesforce Dump'!C490,"")</f>
        <v/>
      </c>
      <c r="F493" s="49" t="str">
        <f>IF('Salesforce Dump'!D490&lt;&gt;"",'Salesforce Dump'!D490,"")</f>
        <v/>
      </c>
      <c r="G493" s="49" t="str">
        <f>IF('Salesforce Dump'!E490&lt;&gt;"",'Salesforce Dump'!E490,"")</f>
        <v/>
      </c>
      <c r="H493" s="49" t="str">
        <f>IF('Salesforce Dump'!G490&lt;&gt;"",'Salesforce Dump'!G490,"")</f>
        <v/>
      </c>
      <c r="I493" s="49" t="str">
        <f>IF('Salesforce Dump'!H490&lt;&gt;"",'Salesforce Dump'!H490,"")</f>
        <v/>
      </c>
      <c r="J493" s="51" t="str">
        <f>IF('Salesforce Dump'!I490&lt;&gt;"",'Salesforce Dump'!I490,"")</f>
        <v/>
      </c>
      <c r="K493" s="51" t="str">
        <f>IF('Salesforce Dump'!J490&lt;&gt;"",'Salesforce Dump'!J490,"")</f>
        <v/>
      </c>
      <c r="L493" s="52" t="str">
        <f>IFERROR(INDEX('OBA Dump'!C:C,MATCH($E493*1,'OBA Dump'!$A:$A,0)),"")</f>
        <v/>
      </c>
      <c r="M493" s="52" t="str">
        <f>IFERROR(INDEX('OBA Dump'!D:D,MATCH($E493*1,'OBA Dump'!$A:$A,0)),"")</f>
        <v/>
      </c>
      <c r="N493" s="52"/>
      <c r="O493" s="52"/>
      <c r="P493" s="53"/>
      <c r="Q493" s="52"/>
      <c r="R493" s="38" t="str">
        <f>_xlfn.IFNA(VLOOKUP(E493,'Pre-Booked Holidays'!A:B,2,0),"")</f>
        <v/>
      </c>
      <c r="S493" s="38" t="str">
        <f>IF(E493="","",IF(IFERROR(VLOOKUP(E493,'Onbase Report'!D:E,2,0),"")&lt;&gt;"","Details in Onbase","No Details"))</f>
        <v/>
      </c>
      <c r="T493" s="38" t="str">
        <f>IF(LEFT('Salesforce Dump'!Q490,5)="BHX10",LEFT('Salesforce Dump'!Q490,5),LEFT('Salesforce Dump'!Q490,4))</f>
        <v/>
      </c>
      <c r="U493" s="38"/>
    </row>
    <row r="494" spans="1:21" ht="14.5" x14ac:dyDescent="0.35">
      <c r="A494" s="47" t="str">
        <f>IF('Salesforce Dump'!A491&lt;&gt;"",'Salesforce Dump'!A491,"")</f>
        <v/>
      </c>
      <c r="B494" s="48"/>
      <c r="C494" s="49" t="str">
        <f>IF('Salesforce Dump'!B491&lt;&gt;"",'Salesforce Dump'!B491,"")</f>
        <v/>
      </c>
      <c r="D494" s="48"/>
      <c r="E494" s="50" t="str">
        <f>IF('Salesforce Dump'!C491&lt;&gt;"",'Salesforce Dump'!C491,"")</f>
        <v/>
      </c>
      <c r="F494" s="49" t="str">
        <f>IF('Salesforce Dump'!D491&lt;&gt;"",'Salesforce Dump'!D491,"")</f>
        <v/>
      </c>
      <c r="G494" s="49" t="str">
        <f>IF('Salesforce Dump'!E491&lt;&gt;"",'Salesforce Dump'!E491,"")</f>
        <v/>
      </c>
      <c r="H494" s="49" t="str">
        <f>IF('Salesforce Dump'!G491&lt;&gt;"",'Salesforce Dump'!G491,"")</f>
        <v/>
      </c>
      <c r="I494" s="49" t="str">
        <f>IF('Salesforce Dump'!H491&lt;&gt;"",'Salesforce Dump'!H491,"")</f>
        <v/>
      </c>
      <c r="J494" s="51" t="str">
        <f>IF('Salesforce Dump'!I491&lt;&gt;"",'Salesforce Dump'!I491,"")</f>
        <v/>
      </c>
      <c r="K494" s="51" t="str">
        <f>IF('Salesforce Dump'!J491&lt;&gt;"",'Salesforce Dump'!J491,"")</f>
        <v/>
      </c>
      <c r="L494" s="52" t="str">
        <f>IFERROR(INDEX('OBA Dump'!C:C,MATCH($E494*1,'OBA Dump'!$A:$A,0)),"")</f>
        <v/>
      </c>
      <c r="M494" s="52" t="str">
        <f>IFERROR(INDEX('OBA Dump'!D:D,MATCH($E494*1,'OBA Dump'!$A:$A,0)),"")</f>
        <v/>
      </c>
      <c r="N494" s="52"/>
      <c r="O494" s="52"/>
      <c r="P494" s="53"/>
      <c r="Q494" s="52"/>
      <c r="R494" s="38" t="str">
        <f>_xlfn.IFNA(VLOOKUP(E494,'Pre-Booked Holidays'!A:B,2,0),"")</f>
        <v/>
      </c>
      <c r="S494" s="38" t="str">
        <f>IF(E494="","",IF(IFERROR(VLOOKUP(E494,'Onbase Report'!D:E,2,0),"")&lt;&gt;"","Details in Onbase","No Details"))</f>
        <v/>
      </c>
      <c r="T494" s="38" t="str">
        <f>IF(LEFT('Salesforce Dump'!Q491,5)="BHX10",LEFT('Salesforce Dump'!Q491,5),LEFT('Salesforce Dump'!Q491,4))</f>
        <v/>
      </c>
      <c r="U494" s="38"/>
    </row>
    <row r="495" spans="1:21" ht="14.5" x14ac:dyDescent="0.35">
      <c r="A495" s="47" t="str">
        <f>IF('Salesforce Dump'!A492&lt;&gt;"",'Salesforce Dump'!A492,"")</f>
        <v/>
      </c>
      <c r="B495" s="48"/>
      <c r="C495" s="49" t="str">
        <f>IF('Salesforce Dump'!B492&lt;&gt;"",'Salesforce Dump'!B492,"")</f>
        <v/>
      </c>
      <c r="D495" s="48"/>
      <c r="E495" s="50" t="str">
        <f>IF('Salesforce Dump'!C492&lt;&gt;"",'Salesforce Dump'!C492,"")</f>
        <v/>
      </c>
      <c r="F495" s="49" t="str">
        <f>IF('Salesforce Dump'!D492&lt;&gt;"",'Salesforce Dump'!D492,"")</f>
        <v/>
      </c>
      <c r="G495" s="49" t="str">
        <f>IF('Salesforce Dump'!E492&lt;&gt;"",'Salesforce Dump'!E492,"")</f>
        <v/>
      </c>
      <c r="H495" s="49" t="str">
        <f>IF('Salesforce Dump'!G492&lt;&gt;"",'Salesforce Dump'!G492,"")</f>
        <v/>
      </c>
      <c r="I495" s="49" t="str">
        <f>IF('Salesforce Dump'!H492&lt;&gt;"",'Salesforce Dump'!H492,"")</f>
        <v/>
      </c>
      <c r="J495" s="51" t="str">
        <f>IF('Salesforce Dump'!I492&lt;&gt;"",'Salesforce Dump'!I492,"")</f>
        <v/>
      </c>
      <c r="K495" s="51" t="str">
        <f>IF('Salesforce Dump'!J492&lt;&gt;"",'Salesforce Dump'!J492,"")</f>
        <v/>
      </c>
      <c r="L495" s="52" t="str">
        <f>IFERROR(INDEX('OBA Dump'!C:C,MATCH($E495*1,'OBA Dump'!$A:$A,0)),"")</f>
        <v/>
      </c>
      <c r="M495" s="52" t="str">
        <f>IFERROR(INDEX('OBA Dump'!D:D,MATCH($E495*1,'OBA Dump'!$A:$A,0)),"")</f>
        <v/>
      </c>
      <c r="N495" s="52"/>
      <c r="O495" s="52"/>
      <c r="P495" s="53"/>
      <c r="Q495" s="52"/>
      <c r="R495" s="38" t="str">
        <f>_xlfn.IFNA(VLOOKUP(E495,'Pre-Booked Holidays'!A:B,2,0),"")</f>
        <v/>
      </c>
      <c r="S495" s="38" t="str">
        <f>IF(E495="","",IF(IFERROR(VLOOKUP(E495,'Onbase Report'!D:E,2,0),"")&lt;&gt;"","Details in Onbase","No Details"))</f>
        <v/>
      </c>
      <c r="T495" s="38" t="str">
        <f>IF(LEFT('Salesforce Dump'!Q492,5)="BHX10",LEFT('Salesforce Dump'!Q492,5),LEFT('Salesforce Dump'!Q492,4))</f>
        <v/>
      </c>
      <c r="U495" s="38"/>
    </row>
    <row r="496" spans="1:21" ht="14.5" x14ac:dyDescent="0.35">
      <c r="A496" s="47" t="str">
        <f>IF('Salesforce Dump'!A493&lt;&gt;"",'Salesforce Dump'!A493,"")</f>
        <v/>
      </c>
      <c r="B496" s="48"/>
      <c r="C496" s="49" t="str">
        <f>IF('Salesforce Dump'!B493&lt;&gt;"",'Salesforce Dump'!B493,"")</f>
        <v/>
      </c>
      <c r="D496" s="48"/>
      <c r="E496" s="50" t="str">
        <f>IF('Salesforce Dump'!C493&lt;&gt;"",'Salesforce Dump'!C493,"")</f>
        <v/>
      </c>
      <c r="F496" s="49" t="str">
        <f>IF('Salesforce Dump'!D493&lt;&gt;"",'Salesforce Dump'!D493,"")</f>
        <v/>
      </c>
      <c r="G496" s="49" t="str">
        <f>IF('Salesforce Dump'!E493&lt;&gt;"",'Salesforce Dump'!E493,"")</f>
        <v/>
      </c>
      <c r="H496" s="49" t="str">
        <f>IF('Salesforce Dump'!G493&lt;&gt;"",'Salesforce Dump'!G493,"")</f>
        <v/>
      </c>
      <c r="I496" s="49" t="str">
        <f>IF('Salesforce Dump'!H493&lt;&gt;"",'Salesforce Dump'!H493,"")</f>
        <v/>
      </c>
      <c r="J496" s="51" t="str">
        <f>IF('Salesforce Dump'!I493&lt;&gt;"",'Salesforce Dump'!I493,"")</f>
        <v/>
      </c>
      <c r="K496" s="51" t="str">
        <f>IF('Salesforce Dump'!J493&lt;&gt;"",'Salesforce Dump'!J493,"")</f>
        <v/>
      </c>
      <c r="L496" s="52" t="str">
        <f>IFERROR(INDEX('OBA Dump'!C:C,MATCH($E496*1,'OBA Dump'!$A:$A,0)),"")</f>
        <v/>
      </c>
      <c r="M496" s="52" t="str">
        <f>IFERROR(INDEX('OBA Dump'!D:D,MATCH($E496*1,'OBA Dump'!$A:$A,0)),"")</f>
        <v/>
      </c>
      <c r="N496" s="52"/>
      <c r="O496" s="52"/>
      <c r="P496" s="53"/>
      <c r="Q496" s="52"/>
      <c r="R496" s="38" t="str">
        <f>_xlfn.IFNA(VLOOKUP(E496,'Pre-Booked Holidays'!A:B,2,0),"")</f>
        <v/>
      </c>
      <c r="S496" s="38" t="str">
        <f>IF(E496="","",IF(IFERROR(VLOOKUP(E496,'Onbase Report'!D:E,2,0),"")&lt;&gt;"","Details in Onbase","No Details"))</f>
        <v/>
      </c>
      <c r="T496" s="38" t="str">
        <f>IF(LEFT('Salesforce Dump'!Q493,5)="BHX10",LEFT('Salesforce Dump'!Q493,5),LEFT('Salesforce Dump'!Q493,4))</f>
        <v/>
      </c>
      <c r="U496" s="38"/>
    </row>
    <row r="497" spans="1:21" ht="14.5" x14ac:dyDescent="0.35">
      <c r="A497" s="47" t="str">
        <f>IF('Salesforce Dump'!A494&lt;&gt;"",'Salesforce Dump'!A494,"")</f>
        <v/>
      </c>
      <c r="B497" s="48"/>
      <c r="C497" s="49" t="str">
        <f>IF('Salesforce Dump'!B494&lt;&gt;"",'Salesforce Dump'!B494,"")</f>
        <v/>
      </c>
      <c r="D497" s="48"/>
      <c r="E497" s="50" t="str">
        <f>IF('Salesforce Dump'!C494&lt;&gt;"",'Salesforce Dump'!C494,"")</f>
        <v/>
      </c>
      <c r="F497" s="49" t="str">
        <f>IF('Salesforce Dump'!D494&lt;&gt;"",'Salesforce Dump'!D494,"")</f>
        <v/>
      </c>
      <c r="G497" s="49" t="str">
        <f>IF('Salesforce Dump'!E494&lt;&gt;"",'Salesforce Dump'!E494,"")</f>
        <v/>
      </c>
      <c r="H497" s="49" t="str">
        <f>IF('Salesforce Dump'!G494&lt;&gt;"",'Salesforce Dump'!G494,"")</f>
        <v/>
      </c>
      <c r="I497" s="49" t="str">
        <f>IF('Salesforce Dump'!H494&lt;&gt;"",'Salesforce Dump'!H494,"")</f>
        <v/>
      </c>
      <c r="J497" s="51" t="str">
        <f>IF('Salesforce Dump'!I494&lt;&gt;"",'Salesforce Dump'!I494,"")</f>
        <v/>
      </c>
      <c r="K497" s="51" t="str">
        <f>IF('Salesforce Dump'!J494&lt;&gt;"",'Salesforce Dump'!J494,"")</f>
        <v/>
      </c>
      <c r="L497" s="52" t="str">
        <f>IFERROR(INDEX('OBA Dump'!C:C,MATCH($E497*1,'OBA Dump'!$A:$A,0)),"")</f>
        <v/>
      </c>
      <c r="M497" s="52" t="str">
        <f>IFERROR(INDEX('OBA Dump'!D:D,MATCH($E497*1,'OBA Dump'!$A:$A,0)),"")</f>
        <v/>
      </c>
      <c r="N497" s="52"/>
      <c r="O497" s="52"/>
      <c r="P497" s="53"/>
      <c r="Q497" s="52"/>
      <c r="R497" s="38" t="str">
        <f>_xlfn.IFNA(VLOOKUP(E497,'Pre-Booked Holidays'!A:B,2,0),"")</f>
        <v/>
      </c>
      <c r="S497" s="38" t="str">
        <f>IF(E497="","",IF(IFERROR(VLOOKUP(E497,'Onbase Report'!D:E,2,0),"")&lt;&gt;"","Details in Onbase","No Details"))</f>
        <v/>
      </c>
      <c r="T497" s="38" t="str">
        <f>IF(LEFT('Salesforce Dump'!Q494,5)="BHX10",LEFT('Salesforce Dump'!Q494,5),LEFT('Salesforce Dump'!Q494,4))</f>
        <v/>
      </c>
      <c r="U497" s="38"/>
    </row>
    <row r="498" spans="1:21" ht="14.5" x14ac:dyDescent="0.35">
      <c r="A498" s="47" t="str">
        <f>IF('Salesforce Dump'!A495&lt;&gt;"",'Salesforce Dump'!A495,"")</f>
        <v/>
      </c>
      <c r="B498" s="48"/>
      <c r="C498" s="49" t="str">
        <f>IF('Salesforce Dump'!B495&lt;&gt;"",'Salesforce Dump'!B495,"")</f>
        <v/>
      </c>
      <c r="D498" s="48"/>
      <c r="E498" s="50" t="str">
        <f>IF('Salesforce Dump'!C495&lt;&gt;"",'Salesforce Dump'!C495,"")</f>
        <v/>
      </c>
      <c r="F498" s="49" t="str">
        <f>IF('Salesforce Dump'!D495&lt;&gt;"",'Salesforce Dump'!D495,"")</f>
        <v/>
      </c>
      <c r="G498" s="49" t="str">
        <f>IF('Salesforce Dump'!E495&lt;&gt;"",'Salesforce Dump'!E495,"")</f>
        <v/>
      </c>
      <c r="H498" s="49" t="str">
        <f>IF('Salesforce Dump'!G495&lt;&gt;"",'Salesforce Dump'!G495,"")</f>
        <v/>
      </c>
      <c r="I498" s="49" t="str">
        <f>IF('Salesforce Dump'!H495&lt;&gt;"",'Salesforce Dump'!H495,"")</f>
        <v/>
      </c>
      <c r="J498" s="51" t="str">
        <f>IF('Salesforce Dump'!I495&lt;&gt;"",'Salesforce Dump'!I495,"")</f>
        <v/>
      </c>
      <c r="K498" s="51" t="str">
        <f>IF('Salesforce Dump'!J495&lt;&gt;"",'Salesforce Dump'!J495,"")</f>
        <v/>
      </c>
      <c r="L498" s="52" t="str">
        <f>IFERROR(INDEX('OBA Dump'!C:C,MATCH($E498*1,'OBA Dump'!$A:$A,0)),"")</f>
        <v/>
      </c>
      <c r="M498" s="52" t="str">
        <f>IFERROR(INDEX('OBA Dump'!D:D,MATCH($E498*1,'OBA Dump'!$A:$A,0)),"")</f>
        <v/>
      </c>
      <c r="N498" s="52"/>
      <c r="O498" s="52"/>
      <c r="P498" s="53"/>
      <c r="Q498" s="52"/>
      <c r="R498" s="38" t="str">
        <f>_xlfn.IFNA(VLOOKUP(E498,'Pre-Booked Holidays'!A:B,2,0),"")</f>
        <v/>
      </c>
      <c r="S498" s="38" t="str">
        <f>IF(E498="","",IF(IFERROR(VLOOKUP(E498,'Onbase Report'!D:E,2,0),"")&lt;&gt;"","Details in Onbase","No Details"))</f>
        <v/>
      </c>
      <c r="T498" s="38" t="str">
        <f>IF(LEFT('Salesforce Dump'!Q495,5)="BHX10",LEFT('Salesforce Dump'!Q495,5),LEFT('Salesforce Dump'!Q495,4))</f>
        <v/>
      </c>
      <c r="U498" s="38"/>
    </row>
    <row r="499" spans="1:21" ht="14.5" x14ac:dyDescent="0.35">
      <c r="A499" s="47" t="str">
        <f>IF('Salesforce Dump'!A496&lt;&gt;"",'Salesforce Dump'!A496,"")</f>
        <v/>
      </c>
      <c r="B499" s="48"/>
      <c r="C499" s="49" t="str">
        <f>IF('Salesforce Dump'!B496&lt;&gt;"",'Salesforce Dump'!B496,"")</f>
        <v/>
      </c>
      <c r="D499" s="48"/>
      <c r="E499" s="50" t="str">
        <f>IF('Salesforce Dump'!C496&lt;&gt;"",'Salesforce Dump'!C496,"")</f>
        <v/>
      </c>
      <c r="F499" s="49" t="str">
        <f>IF('Salesforce Dump'!D496&lt;&gt;"",'Salesforce Dump'!D496,"")</f>
        <v/>
      </c>
      <c r="G499" s="49" t="str">
        <f>IF('Salesforce Dump'!E496&lt;&gt;"",'Salesforce Dump'!E496,"")</f>
        <v/>
      </c>
      <c r="H499" s="49" t="str">
        <f>IF('Salesforce Dump'!G496&lt;&gt;"",'Salesforce Dump'!G496,"")</f>
        <v/>
      </c>
      <c r="I499" s="49" t="str">
        <f>IF('Salesforce Dump'!H496&lt;&gt;"",'Salesforce Dump'!H496,"")</f>
        <v/>
      </c>
      <c r="J499" s="51" t="str">
        <f>IF('Salesforce Dump'!I496&lt;&gt;"",'Salesforce Dump'!I496,"")</f>
        <v/>
      </c>
      <c r="K499" s="51" t="str">
        <f>IF('Salesforce Dump'!J496&lt;&gt;"",'Salesforce Dump'!J496,"")</f>
        <v/>
      </c>
      <c r="L499" s="52" t="str">
        <f>IFERROR(INDEX('OBA Dump'!C:C,MATCH($E499*1,'OBA Dump'!$A:$A,0)),"")</f>
        <v/>
      </c>
      <c r="M499" s="52" t="str">
        <f>IFERROR(INDEX('OBA Dump'!D:D,MATCH($E499*1,'OBA Dump'!$A:$A,0)),"")</f>
        <v/>
      </c>
      <c r="N499" s="52"/>
      <c r="O499" s="52"/>
      <c r="P499" s="53"/>
      <c r="Q499" s="52"/>
      <c r="R499" s="38" t="str">
        <f>_xlfn.IFNA(VLOOKUP(E499,'Pre-Booked Holidays'!A:B,2,0),"")</f>
        <v/>
      </c>
      <c r="S499" s="38" t="str">
        <f>IF(E499="","",IF(IFERROR(VLOOKUP(E499,'Onbase Report'!D:E,2,0),"")&lt;&gt;"","Details in Onbase","No Details"))</f>
        <v/>
      </c>
      <c r="T499" s="38" t="str">
        <f>IF(LEFT('Salesforce Dump'!Q496,5)="BHX10",LEFT('Salesforce Dump'!Q496,5),LEFT('Salesforce Dump'!Q496,4))</f>
        <v/>
      </c>
      <c r="U499" s="38"/>
    </row>
    <row r="500" spans="1:21" ht="14.5" x14ac:dyDescent="0.35">
      <c r="A500" s="47" t="str">
        <f>IF('Salesforce Dump'!A497&lt;&gt;"",'Salesforce Dump'!A497,"")</f>
        <v/>
      </c>
      <c r="B500" s="48"/>
      <c r="C500" s="49" t="str">
        <f>IF('Salesforce Dump'!B497&lt;&gt;"",'Salesforce Dump'!B497,"")</f>
        <v/>
      </c>
      <c r="D500" s="48"/>
      <c r="E500" s="50" t="str">
        <f>IF('Salesforce Dump'!C497&lt;&gt;"",'Salesforce Dump'!C497,"")</f>
        <v/>
      </c>
      <c r="F500" s="49" t="str">
        <f>IF('Salesforce Dump'!D497&lt;&gt;"",'Salesforce Dump'!D497,"")</f>
        <v/>
      </c>
      <c r="G500" s="49" t="str">
        <f>IF('Salesforce Dump'!E497&lt;&gt;"",'Salesforce Dump'!E497,"")</f>
        <v/>
      </c>
      <c r="H500" s="49" t="str">
        <f>IF('Salesforce Dump'!G497&lt;&gt;"",'Salesforce Dump'!G497,"")</f>
        <v/>
      </c>
      <c r="I500" s="49" t="str">
        <f>IF('Salesforce Dump'!H497&lt;&gt;"",'Salesforce Dump'!H497,"")</f>
        <v/>
      </c>
      <c r="J500" s="51" t="str">
        <f>IF('Salesforce Dump'!I497&lt;&gt;"",'Salesforce Dump'!I497,"")</f>
        <v/>
      </c>
      <c r="K500" s="51" t="str">
        <f>IF('Salesforce Dump'!J497&lt;&gt;"",'Salesforce Dump'!J497,"")</f>
        <v/>
      </c>
      <c r="L500" s="52" t="str">
        <f>IFERROR(INDEX('OBA Dump'!C:C,MATCH($E500*1,'OBA Dump'!$A:$A,0)),"")</f>
        <v/>
      </c>
      <c r="M500" s="52" t="str">
        <f>IFERROR(INDEX('OBA Dump'!D:D,MATCH($E500*1,'OBA Dump'!$A:$A,0)),"")</f>
        <v/>
      </c>
      <c r="N500" s="52"/>
      <c r="O500" s="52"/>
      <c r="P500" s="53"/>
      <c r="Q500" s="52"/>
      <c r="R500" s="38" t="str">
        <f>_xlfn.IFNA(VLOOKUP(E500,'Pre-Booked Holidays'!A:B,2,0),"")</f>
        <v/>
      </c>
      <c r="S500" s="38" t="str">
        <f>IF(E500="","",IF(IFERROR(VLOOKUP(E500,'Onbase Report'!D:E,2,0),"")&lt;&gt;"","Details in Onbase","No Details"))</f>
        <v/>
      </c>
      <c r="T500" s="38" t="str">
        <f>IF(LEFT('Salesforce Dump'!Q497,5)="BHX10",LEFT('Salesforce Dump'!Q497,5),LEFT('Salesforce Dump'!Q497,4))</f>
        <v/>
      </c>
      <c r="U500" s="38"/>
    </row>
    <row r="501" spans="1:21" ht="14.5" x14ac:dyDescent="0.35">
      <c r="A501" s="47" t="str">
        <f>IF('Salesforce Dump'!A498&lt;&gt;"",'Salesforce Dump'!A498,"")</f>
        <v/>
      </c>
      <c r="B501" s="48"/>
      <c r="C501" s="49" t="str">
        <f>IF('Salesforce Dump'!B498&lt;&gt;"",'Salesforce Dump'!B498,"")</f>
        <v/>
      </c>
      <c r="D501" s="48"/>
      <c r="E501" s="50" t="str">
        <f>IF('Salesforce Dump'!C498&lt;&gt;"",'Salesforce Dump'!C498,"")</f>
        <v/>
      </c>
      <c r="F501" s="49" t="str">
        <f>IF('Salesforce Dump'!D498&lt;&gt;"",'Salesforce Dump'!D498,"")</f>
        <v/>
      </c>
      <c r="G501" s="49" t="str">
        <f>IF('Salesforce Dump'!E498&lt;&gt;"",'Salesforce Dump'!E498,"")</f>
        <v/>
      </c>
      <c r="H501" s="49" t="str">
        <f>IF('Salesforce Dump'!G498&lt;&gt;"",'Salesforce Dump'!G498,"")</f>
        <v/>
      </c>
      <c r="I501" s="49" t="str">
        <f>IF('Salesforce Dump'!H498&lt;&gt;"",'Salesforce Dump'!H498,"")</f>
        <v/>
      </c>
      <c r="J501" s="51" t="str">
        <f>IF('Salesforce Dump'!I498&lt;&gt;"",'Salesforce Dump'!I498,"")</f>
        <v/>
      </c>
      <c r="K501" s="51" t="str">
        <f>IF('Salesforce Dump'!J498&lt;&gt;"",'Salesforce Dump'!J498,"")</f>
        <v/>
      </c>
      <c r="L501" s="52" t="str">
        <f>IFERROR(INDEX('OBA Dump'!C:C,MATCH($E501*1,'OBA Dump'!$A:$A,0)),"")</f>
        <v/>
      </c>
      <c r="M501" s="52" t="str">
        <f>IFERROR(INDEX('OBA Dump'!D:D,MATCH($E501*1,'OBA Dump'!$A:$A,0)),"")</f>
        <v/>
      </c>
      <c r="N501" s="52"/>
      <c r="O501" s="52"/>
      <c r="P501" s="53"/>
      <c r="Q501" s="52"/>
      <c r="R501" s="38" t="str">
        <f>_xlfn.IFNA(VLOOKUP(E501,'Pre-Booked Holidays'!A:B,2,0),"")</f>
        <v/>
      </c>
      <c r="S501" s="38" t="str">
        <f>IF(E501="","",IF(IFERROR(VLOOKUP(E501,'Onbase Report'!D:E,2,0),"")&lt;&gt;"","Details in Onbase","No Details"))</f>
        <v/>
      </c>
      <c r="T501" s="38" t="str">
        <f>IF(LEFT('Salesforce Dump'!Q498,5)="BHX10",LEFT('Salesforce Dump'!Q498,5),LEFT('Salesforce Dump'!Q498,4))</f>
        <v/>
      </c>
      <c r="U501" s="38"/>
    </row>
    <row r="502" spans="1:21" ht="14.5" x14ac:dyDescent="0.35">
      <c r="A502" s="47" t="str">
        <f>IF('Salesforce Dump'!A499&lt;&gt;"",'Salesforce Dump'!A499,"")</f>
        <v/>
      </c>
      <c r="B502" s="48"/>
      <c r="C502" s="49" t="str">
        <f>IF('Salesforce Dump'!B499&lt;&gt;"",'Salesforce Dump'!B499,"")</f>
        <v/>
      </c>
      <c r="D502" s="48"/>
      <c r="E502" s="50" t="str">
        <f>IF('Salesforce Dump'!C499&lt;&gt;"",'Salesforce Dump'!C499,"")</f>
        <v/>
      </c>
      <c r="F502" s="49" t="str">
        <f>IF('Salesforce Dump'!D499&lt;&gt;"",'Salesforce Dump'!D499,"")</f>
        <v/>
      </c>
      <c r="G502" s="49" t="str">
        <f>IF('Salesforce Dump'!E499&lt;&gt;"",'Salesforce Dump'!E499,"")</f>
        <v/>
      </c>
      <c r="H502" s="49" t="str">
        <f>IF('Salesforce Dump'!G499&lt;&gt;"",'Salesforce Dump'!G499,"")</f>
        <v/>
      </c>
      <c r="I502" s="49" t="str">
        <f>IF('Salesforce Dump'!H499&lt;&gt;"",'Salesforce Dump'!H499,"")</f>
        <v/>
      </c>
      <c r="J502" s="51" t="str">
        <f>IF('Salesforce Dump'!I499&lt;&gt;"",'Salesforce Dump'!I499,"")</f>
        <v/>
      </c>
      <c r="K502" s="51" t="str">
        <f>IF('Salesforce Dump'!J499&lt;&gt;"",'Salesforce Dump'!J499,"")</f>
        <v/>
      </c>
      <c r="L502" s="52" t="str">
        <f>IFERROR(INDEX('OBA Dump'!C:C,MATCH($E502*1,'OBA Dump'!$A:$A,0)),"")</f>
        <v/>
      </c>
      <c r="M502" s="52" t="str">
        <f>IFERROR(INDEX('OBA Dump'!D:D,MATCH($E502*1,'OBA Dump'!$A:$A,0)),"")</f>
        <v/>
      </c>
      <c r="N502" s="52"/>
      <c r="O502" s="52"/>
      <c r="P502" s="53"/>
      <c r="Q502" s="52"/>
      <c r="R502" s="38" t="str">
        <f>_xlfn.IFNA(VLOOKUP(E502,'Pre-Booked Holidays'!A:B,2,0),"")</f>
        <v/>
      </c>
      <c r="S502" s="38" t="str">
        <f>IF(E502="","",IF(IFERROR(VLOOKUP(E502,'Onbase Report'!D:E,2,0),"")&lt;&gt;"","Details in Onbase","No Details"))</f>
        <v/>
      </c>
      <c r="T502" s="38" t="str">
        <f>IF(LEFT('Salesforce Dump'!Q499,5)="BHX10",LEFT('Salesforce Dump'!Q499,5),LEFT('Salesforce Dump'!Q499,4))</f>
        <v/>
      </c>
      <c r="U502" s="38"/>
    </row>
    <row r="503" spans="1:21" ht="14.5" x14ac:dyDescent="0.35">
      <c r="A503" s="47" t="str">
        <f>IF('Salesforce Dump'!A500&lt;&gt;"",'Salesforce Dump'!A500,"")</f>
        <v/>
      </c>
      <c r="B503" s="48"/>
      <c r="C503" s="49" t="str">
        <f>IF('Salesforce Dump'!B500&lt;&gt;"",'Salesforce Dump'!B500,"")</f>
        <v/>
      </c>
      <c r="D503" s="48"/>
      <c r="E503" s="50" t="str">
        <f>IF('Salesforce Dump'!C500&lt;&gt;"",'Salesforce Dump'!C500,"")</f>
        <v/>
      </c>
      <c r="F503" s="49" t="str">
        <f>IF('Salesforce Dump'!D500&lt;&gt;"",'Salesforce Dump'!D500,"")</f>
        <v/>
      </c>
      <c r="G503" s="49" t="str">
        <f>IF('Salesforce Dump'!E500&lt;&gt;"",'Salesforce Dump'!E500,"")</f>
        <v/>
      </c>
      <c r="H503" s="49" t="str">
        <f>IF('Salesforce Dump'!G500&lt;&gt;"",'Salesforce Dump'!G500,"")</f>
        <v/>
      </c>
      <c r="I503" s="49" t="str">
        <f>IF('Salesforce Dump'!H500&lt;&gt;"",'Salesforce Dump'!H500,"")</f>
        <v/>
      </c>
      <c r="J503" s="51" t="str">
        <f>IF('Salesforce Dump'!I500&lt;&gt;"",'Salesforce Dump'!I500,"")</f>
        <v/>
      </c>
      <c r="K503" s="51" t="str">
        <f>IF('Salesforce Dump'!J500&lt;&gt;"",'Salesforce Dump'!J500,"")</f>
        <v/>
      </c>
      <c r="L503" s="52" t="str">
        <f>IFERROR(INDEX('OBA Dump'!C:C,MATCH($E503*1,'OBA Dump'!$A:$A,0)),"")</f>
        <v/>
      </c>
      <c r="M503" s="52" t="str">
        <f>IFERROR(INDEX('OBA Dump'!D:D,MATCH($E503*1,'OBA Dump'!$A:$A,0)),"")</f>
        <v/>
      </c>
      <c r="N503" s="52"/>
      <c r="O503" s="52"/>
      <c r="P503" s="53"/>
      <c r="Q503" s="52"/>
      <c r="R503" s="38" t="str">
        <f>_xlfn.IFNA(VLOOKUP(E503,'Pre-Booked Holidays'!A:B,2,0),"")</f>
        <v/>
      </c>
      <c r="S503" s="38" t="str">
        <f>IF(E503="","",IF(IFERROR(VLOOKUP(E503,'Onbase Report'!D:E,2,0),"")&lt;&gt;"","Details in Onbase","No Details"))</f>
        <v/>
      </c>
      <c r="T503" s="38" t="str">
        <f>IF(LEFT('Salesforce Dump'!Q500,5)="BHX10",LEFT('Salesforce Dump'!Q500,5),LEFT('Salesforce Dump'!Q500,4))</f>
        <v/>
      </c>
      <c r="U503" s="38"/>
    </row>
    <row r="504" spans="1:21" ht="14.5" x14ac:dyDescent="0.35">
      <c r="A504" s="47" t="str">
        <f>IF('Salesforce Dump'!A501&lt;&gt;"",'Salesforce Dump'!A501,"")</f>
        <v/>
      </c>
      <c r="B504" s="48"/>
      <c r="C504" s="49" t="str">
        <f>IF('Salesforce Dump'!B501&lt;&gt;"",'Salesforce Dump'!B501,"")</f>
        <v/>
      </c>
      <c r="D504" s="48"/>
      <c r="E504" s="50" t="str">
        <f>IF('Salesforce Dump'!C501&lt;&gt;"",'Salesforce Dump'!C501,"")</f>
        <v/>
      </c>
      <c r="F504" s="49" t="str">
        <f>IF('Salesforce Dump'!D501&lt;&gt;"",'Salesforce Dump'!D501,"")</f>
        <v/>
      </c>
      <c r="G504" s="49" t="str">
        <f>IF('Salesforce Dump'!E501&lt;&gt;"",'Salesforce Dump'!E501,"")</f>
        <v/>
      </c>
      <c r="H504" s="49" t="str">
        <f>IF('Salesforce Dump'!G501&lt;&gt;"",'Salesforce Dump'!G501,"")</f>
        <v/>
      </c>
      <c r="I504" s="49" t="str">
        <f>IF('Salesforce Dump'!H501&lt;&gt;"",'Salesforce Dump'!H501,"")</f>
        <v/>
      </c>
      <c r="J504" s="51" t="str">
        <f>IF('Salesforce Dump'!I501&lt;&gt;"",'Salesforce Dump'!I501,"")</f>
        <v/>
      </c>
      <c r="K504" s="51" t="str">
        <f>IF('Salesforce Dump'!J501&lt;&gt;"",'Salesforce Dump'!J501,"")</f>
        <v/>
      </c>
      <c r="L504" s="52" t="str">
        <f>IFERROR(INDEX('OBA Dump'!C:C,MATCH($E504*1,'OBA Dump'!$A:$A,0)),"")</f>
        <v/>
      </c>
      <c r="M504" s="52" t="str">
        <f>IFERROR(INDEX('OBA Dump'!D:D,MATCH($E504*1,'OBA Dump'!$A:$A,0)),"")</f>
        <v/>
      </c>
      <c r="N504" s="52"/>
      <c r="O504" s="52"/>
      <c r="P504" s="53"/>
      <c r="Q504" s="52"/>
      <c r="R504" s="38" t="str">
        <f>_xlfn.IFNA(VLOOKUP(E504,'Pre-Booked Holidays'!A:B,2,0),"")</f>
        <v/>
      </c>
      <c r="S504" s="38" t="str">
        <f>IF(E504="","",IF(IFERROR(VLOOKUP(E504,'Onbase Report'!D:E,2,0),"")&lt;&gt;"","Details in Onbase","No Details"))</f>
        <v/>
      </c>
      <c r="T504" s="38" t="str">
        <f>IF(LEFT('Salesforce Dump'!Q501,5)="BHX10",LEFT('Salesforce Dump'!Q501,5),LEFT('Salesforce Dump'!Q501,4))</f>
        <v/>
      </c>
      <c r="U504" s="38"/>
    </row>
  </sheetData>
  <sheetProtection selectLockedCells="1" selectUnlockedCells="1"/>
  <mergeCells count="5">
    <mergeCell ref="B1:B3"/>
    <mergeCell ref="D1:D3"/>
    <mergeCell ref="E1:T1"/>
    <mergeCell ref="E2:T2"/>
    <mergeCell ref="E3:T3"/>
  </mergeCells>
  <conditionalFormatting sqref="P5:P504">
    <cfRule type="cellIs" dxfId="4" priority="5" operator="equal">
      <formula>"N"</formula>
    </cfRule>
  </conditionalFormatting>
  <conditionalFormatting sqref="S4:S1048576">
    <cfRule type="containsText" dxfId="3" priority="3" operator="containsText" text="Details in Onbase">
      <formula>NOT(ISERROR(SEARCH("Details in Onbase",S4)))</formula>
    </cfRule>
    <cfRule type="containsText" dxfId="2" priority="4" operator="containsText" text="No Details">
      <formula>NOT(ISERROR(SEARCH("No Details",S4)))</formula>
    </cfRule>
  </conditionalFormatting>
  <conditionalFormatting sqref="T4">
    <cfRule type="containsText" dxfId="1" priority="1" operator="containsText" text="Details in Onbase">
      <formula>NOT(ISERROR(SEARCH("Details in Onbase",T4)))</formula>
    </cfRule>
    <cfRule type="containsText" dxfId="0" priority="2" operator="containsText" text="No Details">
      <formula>NOT(ISERROR(SEARCH("No Details",T4)))</formula>
    </cfRule>
  </conditionalFormatting>
  <dataValidations count="3">
    <dataValidation type="list" allowBlank="1" showInputMessage="1" showErrorMessage="1" sqref="P5:P504" xr:uid="{AED64D03-469B-4D43-B5A6-966F6FBB060D}">
      <formula1>"Unable to contact,Illness,Failed H&amp;S test,Personal circumstances,Shift not suitable,Attended too late,Travel issues,Took another role,Staying in previous job,Other"</formula1>
    </dataValidation>
    <dataValidation type="list" allowBlank="1" showInputMessage="1" showErrorMessage="1" sqref="N5:N504" xr:uid="{15BFFD21-46D9-48C4-9CCE-6C84161A0230}">
      <formula1>"Y,N"</formula1>
    </dataValidation>
    <dataValidation type="list" allowBlank="1" showInputMessage="1" showErrorMessage="1" sqref="O5:O504" xr:uid="{585081C1-9A99-48AA-9EC1-2D1568F9679A}">
      <formula1>"Y,N,F"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81026-41BA-4EEB-BAED-BE2A42942610}">
  <sheetPr codeName="Sheet4"/>
  <dimension ref="A2:Q61"/>
  <sheetViews>
    <sheetView zoomScale="80" zoomScaleNormal="80" workbookViewId="0">
      <selection activeCell="D12" sqref="A1:P21"/>
    </sheetView>
  </sheetViews>
  <sheetFormatPr defaultColWidth="8.81640625" defaultRowHeight="14.5" x14ac:dyDescent="0.35"/>
  <cols>
    <col min="1" max="1" width="15.7265625" style="127" bestFit="1" customWidth="1"/>
    <col min="2" max="2" width="15" style="127" bestFit="1" customWidth="1"/>
    <col min="3" max="3" width="43" style="127" bestFit="1" customWidth="1"/>
    <col min="4" max="4" width="23.453125" style="127" bestFit="1" customWidth="1"/>
    <col min="5" max="5" width="22.81640625" style="127" bestFit="1" customWidth="1"/>
    <col min="6" max="6" width="27.1796875" style="127" bestFit="1" customWidth="1"/>
    <col min="7" max="7" width="16.26953125" style="127" bestFit="1" customWidth="1"/>
    <col min="8" max="8" width="11" style="127" bestFit="1" customWidth="1"/>
    <col min="9" max="9" width="22.81640625" style="127" bestFit="1" customWidth="1"/>
    <col min="10" max="10" width="15.26953125" style="127" bestFit="1" customWidth="1"/>
    <col min="11" max="11" width="27" style="127" bestFit="1" customWidth="1"/>
    <col min="12" max="12" width="25.54296875" style="127" bestFit="1" customWidth="1"/>
    <col min="13" max="13" width="26.453125" style="127" bestFit="1" customWidth="1"/>
    <col min="14" max="14" width="29.26953125" style="127" bestFit="1" customWidth="1"/>
    <col min="15" max="15" width="37" style="127" bestFit="1" customWidth="1"/>
    <col min="16" max="16" width="41" style="127" bestFit="1" customWidth="1"/>
    <col min="17" max="16384" width="8.81640625" style="127"/>
  </cols>
  <sheetData>
    <row r="2" spans="1:17" s="130" customFormat="1" x14ac:dyDescent="0.35"/>
    <row r="3" spans="1:17" s="130" customFormat="1" x14ac:dyDescent="0.35"/>
    <row r="4" spans="1:17" s="130" customFormat="1" x14ac:dyDescent="0.35"/>
    <row r="5" spans="1:17" s="130" customFormat="1" x14ac:dyDescent="0.35"/>
    <row r="6" spans="1:17" s="130" customFormat="1" x14ac:dyDescent="0.35"/>
    <row r="7" spans="1:17" s="130" customFormat="1" x14ac:dyDescent="0.35"/>
    <row r="8" spans="1:17" s="130" customFormat="1" x14ac:dyDescent="0.35"/>
    <row r="9" spans="1:17" s="130" customFormat="1" x14ac:dyDescent="0.35"/>
    <row r="10" spans="1:17" s="130" customFormat="1" x14ac:dyDescent="0.35"/>
    <row r="11" spans="1:17" s="130" customFormat="1" x14ac:dyDescent="0.35"/>
    <row r="12" spans="1:17" s="130" customFormat="1" x14ac:dyDescent="0.35"/>
    <row r="13" spans="1:17" s="130" customFormat="1" x14ac:dyDescent="0.35"/>
    <row r="14" spans="1:17" x14ac:dyDescent="0.35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</row>
    <row r="15" spans="1:17" x14ac:dyDescent="0.35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</row>
    <row r="16" spans="1:17" x14ac:dyDescent="0.35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</row>
    <row r="17" spans="1:17" x14ac:dyDescent="0.35">
      <c r="A17" s="130"/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</row>
    <row r="18" spans="1:17" x14ac:dyDescent="0.35">
      <c r="A18" s="130"/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</row>
    <row r="19" spans="1:17" x14ac:dyDescent="0.35">
      <c r="A19" s="130"/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</row>
    <row r="20" spans="1:17" x14ac:dyDescent="0.35">
      <c r="A20" s="130"/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</row>
    <row r="21" spans="1:17" x14ac:dyDescent="0.35">
      <c r="A21" s="130"/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</row>
    <row r="22" spans="1:17" x14ac:dyDescent="0.35">
      <c r="A22" s="1"/>
      <c r="B22" s="1"/>
    </row>
    <row r="23" spans="1:17" x14ac:dyDescent="0.35">
      <c r="A23" s="1"/>
      <c r="B23" s="1"/>
    </row>
    <row r="24" spans="1:17" x14ac:dyDescent="0.35">
      <c r="A24" s="1"/>
      <c r="B24" s="1"/>
    </row>
    <row r="25" spans="1:17" x14ac:dyDescent="0.35">
      <c r="A25" s="1"/>
      <c r="B25" s="1"/>
    </row>
    <row r="26" spans="1:17" x14ac:dyDescent="0.35">
      <c r="A26" s="1"/>
      <c r="B26" s="1"/>
    </row>
    <row r="27" spans="1:17" x14ac:dyDescent="0.35">
      <c r="A27" s="1"/>
      <c r="B27" s="1"/>
    </row>
    <row r="28" spans="1:17" x14ac:dyDescent="0.35">
      <c r="A28" s="1"/>
      <c r="B28" s="1"/>
    </row>
    <row r="29" spans="1:17" x14ac:dyDescent="0.35">
      <c r="A29" s="1"/>
      <c r="B29" s="1"/>
    </row>
    <row r="30" spans="1:17" x14ac:dyDescent="0.35">
      <c r="A30" s="1"/>
      <c r="B30" s="1"/>
    </row>
    <row r="31" spans="1:17" x14ac:dyDescent="0.35">
      <c r="A31" s="1"/>
      <c r="B31" s="1"/>
    </row>
    <row r="32" spans="1:17" x14ac:dyDescent="0.35">
      <c r="A32" s="1"/>
      <c r="B32" s="1"/>
    </row>
    <row r="33" spans="1:2" x14ac:dyDescent="0.35">
      <c r="A33" s="1"/>
      <c r="B33" s="1"/>
    </row>
    <row r="34" spans="1:2" x14ac:dyDescent="0.35">
      <c r="A34" s="1"/>
      <c r="B34" s="1"/>
    </row>
    <row r="35" spans="1:2" x14ac:dyDescent="0.35">
      <c r="A35" s="1"/>
      <c r="B35" s="1"/>
    </row>
    <row r="36" spans="1:2" x14ac:dyDescent="0.35">
      <c r="A36" s="1"/>
      <c r="B36" s="1"/>
    </row>
    <row r="37" spans="1:2" x14ac:dyDescent="0.35">
      <c r="A37" s="1"/>
      <c r="B37" s="1"/>
    </row>
    <row r="38" spans="1:2" x14ac:dyDescent="0.35">
      <c r="A38" s="1"/>
      <c r="B38" s="1"/>
    </row>
    <row r="39" spans="1:2" x14ac:dyDescent="0.35">
      <c r="A39" s="1"/>
      <c r="B39" s="1"/>
    </row>
    <row r="40" spans="1:2" x14ac:dyDescent="0.35">
      <c r="A40" s="1"/>
      <c r="B40" s="1"/>
    </row>
    <row r="41" spans="1:2" x14ac:dyDescent="0.35">
      <c r="A41" s="1"/>
      <c r="B41" s="1"/>
    </row>
    <row r="42" spans="1:2" x14ac:dyDescent="0.35">
      <c r="A42" s="1"/>
      <c r="B42" s="1"/>
    </row>
    <row r="43" spans="1:2" x14ac:dyDescent="0.35">
      <c r="A43" s="1"/>
      <c r="B43" s="1"/>
    </row>
    <row r="44" spans="1:2" x14ac:dyDescent="0.35">
      <c r="A44" s="1"/>
      <c r="B44" s="1"/>
    </row>
    <row r="45" spans="1:2" x14ac:dyDescent="0.35">
      <c r="A45" s="1"/>
      <c r="B45" s="1"/>
    </row>
    <row r="46" spans="1:2" x14ac:dyDescent="0.35">
      <c r="A46" s="1"/>
      <c r="B46" s="1"/>
    </row>
    <row r="47" spans="1:2" x14ac:dyDescent="0.35">
      <c r="A47" s="1"/>
      <c r="B47" s="1"/>
    </row>
    <row r="48" spans="1:2" x14ac:dyDescent="0.35">
      <c r="A48" s="1"/>
      <c r="B48" s="1"/>
    </row>
    <row r="49" spans="1:2" x14ac:dyDescent="0.35">
      <c r="A49" s="1"/>
      <c r="B49" s="1"/>
    </row>
    <row r="50" spans="1:2" x14ac:dyDescent="0.35">
      <c r="A50" s="1"/>
      <c r="B50" s="1"/>
    </row>
    <row r="51" spans="1:2" x14ac:dyDescent="0.35">
      <c r="A51" s="1"/>
      <c r="B51" s="1"/>
    </row>
    <row r="52" spans="1:2" x14ac:dyDescent="0.35">
      <c r="A52" s="1"/>
      <c r="B52" s="1"/>
    </row>
    <row r="53" spans="1:2" x14ac:dyDescent="0.35">
      <c r="A53" s="1"/>
      <c r="B53" s="1"/>
    </row>
    <row r="54" spans="1:2" x14ac:dyDescent="0.35">
      <c r="A54" s="1"/>
      <c r="B54" s="1"/>
    </row>
    <row r="55" spans="1:2" x14ac:dyDescent="0.35">
      <c r="A55" s="1"/>
      <c r="B55" s="1"/>
    </row>
    <row r="56" spans="1:2" x14ac:dyDescent="0.35">
      <c r="A56" s="1"/>
      <c r="B56" s="1"/>
    </row>
    <row r="57" spans="1:2" x14ac:dyDescent="0.35">
      <c r="A57" s="1"/>
      <c r="B57" s="1"/>
    </row>
    <row r="58" spans="1:2" x14ac:dyDescent="0.35">
      <c r="A58" s="1"/>
      <c r="B58" s="1"/>
    </row>
    <row r="59" spans="1:2" x14ac:dyDescent="0.35">
      <c r="A59" s="1"/>
      <c r="B59" s="1"/>
    </row>
    <row r="60" spans="1:2" x14ac:dyDescent="0.35">
      <c r="A60" s="1"/>
      <c r="B60" s="1"/>
    </row>
    <row r="61" spans="1:2" x14ac:dyDescent="0.35">
      <c r="A61" s="1"/>
      <c r="B6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430B1-CCE3-4929-B68B-7BB5AE6B1358}">
  <sheetPr codeName="Sheet7"/>
  <dimension ref="A1"/>
  <sheetViews>
    <sheetView workbookViewId="0">
      <selection activeCell="F4" sqref="F4"/>
    </sheetView>
  </sheetViews>
  <sheetFormatPr defaultColWidth="8.7265625" defaultRowHeight="14.5" x14ac:dyDescent="0.35"/>
  <cols>
    <col min="1" max="16384" width="8.7265625" style="127"/>
  </cols>
  <sheetData/>
  <conditionalFormatting sqref="G1">
    <cfRule type="containsText" dxfId="6" priority="1" operator="containsText" text="pending">
      <formula>NOT(ISERROR(SEARCH("pending",G1)))</formula>
    </cfRule>
    <cfRule type="containsText" dxfId="5" priority="2" operator="containsText" text="complete">
      <formula>NOT(ISERROR(SEARCH("complete",G1)))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05F92-C900-4F55-AD5B-7CBC3A674D7E}">
  <sheetPr codeName="Sheet9"/>
  <dimension ref="A1"/>
  <sheetViews>
    <sheetView workbookViewId="0">
      <selection activeCell="N25" sqref="N25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889EF-D8D2-4427-9892-A90BDF330356}">
  <sheetPr codeName="Sheet5"/>
  <dimension ref="E1:H81"/>
  <sheetViews>
    <sheetView zoomScale="80" zoomScaleNormal="80" workbookViewId="0">
      <selection activeCell="V26" sqref="V26"/>
    </sheetView>
  </sheetViews>
  <sheetFormatPr defaultColWidth="9.1796875" defaultRowHeight="14.5" x14ac:dyDescent="0.35"/>
  <sheetData>
    <row r="1" spans="5:5" x14ac:dyDescent="0.35">
      <c r="E1" s="1"/>
    </row>
    <row r="2" spans="5:5" x14ac:dyDescent="0.35">
      <c r="E2" s="1"/>
    </row>
    <row r="3" spans="5:5" x14ac:dyDescent="0.35">
      <c r="E3" s="1"/>
    </row>
    <row r="4" spans="5:5" x14ac:dyDescent="0.35">
      <c r="E4" s="1"/>
    </row>
    <row r="5" spans="5:5" x14ac:dyDescent="0.35">
      <c r="E5" s="1"/>
    </row>
    <row r="6" spans="5:5" x14ac:dyDescent="0.35">
      <c r="E6" s="1"/>
    </row>
    <row r="7" spans="5:5" x14ac:dyDescent="0.35">
      <c r="E7" s="1"/>
    </row>
    <row r="8" spans="5:5" x14ac:dyDescent="0.35">
      <c r="E8" s="1"/>
    </row>
    <row r="9" spans="5:5" x14ac:dyDescent="0.35">
      <c r="E9" s="1"/>
    </row>
    <row r="10" spans="5:5" x14ac:dyDescent="0.35">
      <c r="E10" s="1"/>
    </row>
    <row r="11" spans="5:5" x14ac:dyDescent="0.35">
      <c r="E11" s="1"/>
    </row>
    <row r="12" spans="5:5" x14ac:dyDescent="0.35">
      <c r="E12" s="1"/>
    </row>
    <row r="13" spans="5:5" x14ac:dyDescent="0.35">
      <c r="E13" s="1"/>
    </row>
    <row r="14" spans="5:5" x14ac:dyDescent="0.35">
      <c r="E14" s="1"/>
    </row>
    <row r="15" spans="5:5" x14ac:dyDescent="0.35">
      <c r="E15" s="1"/>
    </row>
    <row r="16" spans="5:5" x14ac:dyDescent="0.35">
      <c r="E16" s="1"/>
    </row>
    <row r="17" spans="5:8" x14ac:dyDescent="0.35">
      <c r="E17" s="1"/>
    </row>
    <row r="18" spans="5:8" x14ac:dyDescent="0.35">
      <c r="E18" s="1"/>
    </row>
    <row r="19" spans="5:8" x14ac:dyDescent="0.35">
      <c r="E19" s="1"/>
      <c r="H19" s="2"/>
    </row>
    <row r="20" spans="5:8" x14ac:dyDescent="0.35">
      <c r="E20" s="1"/>
    </row>
    <row r="21" spans="5:8" x14ac:dyDescent="0.35">
      <c r="E21" s="1"/>
    </row>
    <row r="22" spans="5:8" x14ac:dyDescent="0.35">
      <c r="E22" s="1"/>
    </row>
    <row r="23" spans="5:8" x14ac:dyDescent="0.35">
      <c r="E23" s="1"/>
    </row>
    <row r="24" spans="5:8" x14ac:dyDescent="0.35">
      <c r="E24" s="1"/>
    </row>
    <row r="25" spans="5:8" x14ac:dyDescent="0.35">
      <c r="E25" s="1"/>
    </row>
    <row r="26" spans="5:8" x14ac:dyDescent="0.35">
      <c r="E26" s="1"/>
    </row>
    <row r="27" spans="5:8" x14ac:dyDescent="0.35">
      <c r="E27" s="1"/>
    </row>
    <row r="28" spans="5:8" x14ac:dyDescent="0.35">
      <c r="E28" s="1"/>
    </row>
    <row r="29" spans="5:8" x14ac:dyDescent="0.35">
      <c r="E29" s="1"/>
    </row>
    <row r="30" spans="5:8" x14ac:dyDescent="0.35">
      <c r="E30" s="1"/>
    </row>
    <row r="31" spans="5:8" x14ac:dyDescent="0.35">
      <c r="E31" s="1"/>
    </row>
    <row r="32" spans="5:8" x14ac:dyDescent="0.35">
      <c r="E32" s="1"/>
    </row>
    <row r="33" spans="5:5" x14ac:dyDescent="0.35">
      <c r="E33" s="1"/>
    </row>
    <row r="34" spans="5:5" x14ac:dyDescent="0.35">
      <c r="E34" s="1"/>
    </row>
    <row r="35" spans="5:5" x14ac:dyDescent="0.35">
      <c r="E35" s="1"/>
    </row>
    <row r="36" spans="5:5" x14ac:dyDescent="0.35">
      <c r="E36" s="1"/>
    </row>
    <row r="37" spans="5:5" x14ac:dyDescent="0.35">
      <c r="E37" s="1"/>
    </row>
    <row r="38" spans="5:5" x14ac:dyDescent="0.35">
      <c r="E38" s="1"/>
    </row>
    <row r="39" spans="5:5" x14ac:dyDescent="0.35">
      <c r="E39" s="1"/>
    </row>
    <row r="40" spans="5:5" x14ac:dyDescent="0.35">
      <c r="E40" s="1"/>
    </row>
    <row r="41" spans="5:5" x14ac:dyDescent="0.35">
      <c r="E41" s="1"/>
    </row>
    <row r="42" spans="5:5" x14ac:dyDescent="0.35">
      <c r="E42" s="1"/>
    </row>
    <row r="43" spans="5:5" x14ac:dyDescent="0.35">
      <c r="E43" s="1"/>
    </row>
    <row r="44" spans="5:5" x14ac:dyDescent="0.35">
      <c r="E44" s="1"/>
    </row>
    <row r="45" spans="5:5" x14ac:dyDescent="0.35">
      <c r="E45" s="1"/>
    </row>
    <row r="46" spans="5:5" x14ac:dyDescent="0.35">
      <c r="E46" s="1"/>
    </row>
    <row r="47" spans="5:5" x14ac:dyDescent="0.35">
      <c r="E47" s="1"/>
    </row>
    <row r="48" spans="5:5" x14ac:dyDescent="0.35">
      <c r="E48" s="1"/>
    </row>
    <row r="49" spans="5:5" x14ac:dyDescent="0.35">
      <c r="E49" s="1"/>
    </row>
    <row r="50" spans="5:5" x14ac:dyDescent="0.35">
      <c r="E50" s="1"/>
    </row>
    <row r="51" spans="5:5" x14ac:dyDescent="0.35">
      <c r="E51" s="1"/>
    </row>
    <row r="52" spans="5:5" x14ac:dyDescent="0.35">
      <c r="E52" s="1"/>
    </row>
    <row r="53" spans="5:5" x14ac:dyDescent="0.35">
      <c r="E53" s="1"/>
    </row>
    <row r="54" spans="5:5" x14ac:dyDescent="0.35">
      <c r="E54" s="1"/>
    </row>
    <row r="55" spans="5:5" x14ac:dyDescent="0.35">
      <c r="E55" s="1"/>
    </row>
    <row r="56" spans="5:5" x14ac:dyDescent="0.35">
      <c r="E56" s="1"/>
    </row>
    <row r="57" spans="5:5" x14ac:dyDescent="0.35">
      <c r="E57" s="1"/>
    </row>
    <row r="58" spans="5:5" x14ac:dyDescent="0.35">
      <c r="E58" s="1"/>
    </row>
    <row r="59" spans="5:5" x14ac:dyDescent="0.35">
      <c r="E59" s="1"/>
    </row>
    <row r="60" spans="5:5" x14ac:dyDescent="0.35">
      <c r="E60" s="1"/>
    </row>
    <row r="61" spans="5:5" x14ac:dyDescent="0.35">
      <c r="E61" s="1"/>
    </row>
    <row r="62" spans="5:5" x14ac:dyDescent="0.35">
      <c r="E62" s="1"/>
    </row>
    <row r="63" spans="5:5" x14ac:dyDescent="0.35">
      <c r="E63" s="1"/>
    </row>
    <row r="64" spans="5:5" x14ac:dyDescent="0.35">
      <c r="E64" s="1"/>
    </row>
    <row r="65" spans="5:5" x14ac:dyDescent="0.35">
      <c r="E65" s="1"/>
    </row>
    <row r="66" spans="5:5" x14ac:dyDescent="0.35">
      <c r="E66" s="1"/>
    </row>
    <row r="67" spans="5:5" x14ac:dyDescent="0.35">
      <c r="E67" s="1"/>
    </row>
    <row r="68" spans="5:5" x14ac:dyDescent="0.35">
      <c r="E68" s="1"/>
    </row>
    <row r="69" spans="5:5" x14ac:dyDescent="0.35">
      <c r="E69" s="1"/>
    </row>
    <row r="70" spans="5:5" x14ac:dyDescent="0.35">
      <c r="E70" s="1"/>
    </row>
    <row r="71" spans="5:5" x14ac:dyDescent="0.35">
      <c r="E71" s="1"/>
    </row>
    <row r="72" spans="5:5" x14ac:dyDescent="0.35">
      <c r="E72" s="1"/>
    </row>
    <row r="73" spans="5:5" x14ac:dyDescent="0.35">
      <c r="E73" s="1"/>
    </row>
    <row r="74" spans="5:5" x14ac:dyDescent="0.35">
      <c r="E74" s="1"/>
    </row>
    <row r="75" spans="5:5" x14ac:dyDescent="0.35">
      <c r="E75" s="1"/>
    </row>
    <row r="76" spans="5:5" x14ac:dyDescent="0.35">
      <c r="E76" s="1"/>
    </row>
    <row r="77" spans="5:5" x14ac:dyDescent="0.35">
      <c r="E77" s="1"/>
    </row>
    <row r="78" spans="5:5" x14ac:dyDescent="0.35">
      <c r="E78" s="1"/>
    </row>
    <row r="79" spans="5:5" x14ac:dyDescent="0.35">
      <c r="E79" s="1"/>
    </row>
    <row r="80" spans="5:5" x14ac:dyDescent="0.35">
      <c r="E80" s="1"/>
    </row>
    <row r="81" spans="5:5" x14ac:dyDescent="0.35">
      <c r="E81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6F05D-5A68-4D49-8FAF-658BA2BAC006}">
  <sheetPr codeName="Sheet3"/>
  <dimension ref="A1:D1"/>
  <sheetViews>
    <sheetView workbookViewId="0">
      <selection sqref="A1:A1048576"/>
    </sheetView>
  </sheetViews>
  <sheetFormatPr defaultRowHeight="14.5" x14ac:dyDescent="0.35"/>
  <cols>
    <col min="1" max="1" width="9.1796875" style="7"/>
  </cols>
  <sheetData>
    <row r="1" spans="1:4" x14ac:dyDescent="0.35">
      <c r="A1" s="6" t="s">
        <v>63</v>
      </c>
      <c r="B1" s="4" t="s">
        <v>64</v>
      </c>
      <c r="C1" s="4" t="s">
        <v>65</v>
      </c>
      <c r="D1" s="5" t="s">
        <v>66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2944-9D1E-4B7A-94ED-0045E2B652F6}">
  <sheetPr codeName="Sheet2"/>
  <dimension ref="A1:I1"/>
  <sheetViews>
    <sheetView workbookViewId="0">
      <selection activeCell="B1" sqref="B1:B1048576"/>
    </sheetView>
  </sheetViews>
  <sheetFormatPr defaultRowHeight="14.5" x14ac:dyDescent="0.35"/>
  <cols>
    <col min="2" max="2" width="9.1796875" style="7"/>
  </cols>
  <sheetData>
    <row r="1" spans="1:9" x14ac:dyDescent="0.35">
      <c r="A1" s="3" t="s">
        <v>67</v>
      </c>
      <c r="B1" s="8" t="s">
        <v>33</v>
      </c>
      <c r="C1" s="4" t="s">
        <v>68</v>
      </c>
      <c r="D1" s="4" t="s">
        <v>69</v>
      </c>
      <c r="E1" s="4" t="s">
        <v>70</v>
      </c>
      <c r="F1" s="4" t="s">
        <v>71</v>
      </c>
      <c r="G1" s="4" t="s">
        <v>72</v>
      </c>
      <c r="H1" s="4" t="s">
        <v>73</v>
      </c>
      <c r="I1" s="5" t="s">
        <v>74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E58EE3-CAD2-472A-BA06-032B3B265C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WK#</vt:lpstr>
      <vt:lpstr>2022 Direct Hire Metrics</vt:lpstr>
      <vt:lpstr>New Starters</vt:lpstr>
      <vt:lpstr>Salesforce Dump</vt:lpstr>
      <vt:lpstr>Onbase Report</vt:lpstr>
      <vt:lpstr>Pre-Booked Holidays</vt:lpstr>
      <vt:lpstr>OBA Dump</vt:lpstr>
      <vt:lpstr>New Hire Hours</vt:lpstr>
      <vt:lpstr>Roster</vt:lpstr>
    </vt:vector>
  </TitlesOfParts>
  <Company>Organization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Podolchuk, Christopher</dc:creator>
  <cp:lastModifiedBy>Podolchuk, Chris</cp:lastModifiedBy>
  <dcterms:created xsi:type="dcterms:W3CDTF">2021-01-11T12:06:45Z</dcterms:created>
  <dcterms:modified xsi:type="dcterms:W3CDTF">2022-10-28T15:09:59Z</dcterms:modified>
</cp:coreProperties>
</file>